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TestCase!$B$1:$K$1</definedName>
  </definedNames>
  <calcPr/>
  <extLst>
    <ext uri="GoogleSheetsCustomDataVersion2">
      <go:sheetsCustomData xmlns:go="http://customooxmlschemas.google.com/" r:id="rId6" roundtripDataChecksum="iKAEQmAH19CiN+8W+7/CaPMnvykjPxE4/L36wZJvi6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ID#AAABscayloo
    (2025-10-14 05:05:01)
실행방법 실행전 충족되야하는 조건</t>
      </text>
    </comment>
    <comment authorId="0" ref="D1">
      <text>
        <t xml:space="preserve">======
ID#AAABscaylos
    (2025-10-14 05:05:01)
모듈단위 분류</t>
      </text>
    </comment>
    <comment authorId="0" ref="B1">
      <text>
        <t xml:space="preserve">======
ID#AAABscaylow
    (2025-10-14 05:05:01)
프로그램의 가장 큰단위로 나눌 수 있는 시스템 범주</t>
      </text>
    </comment>
    <comment authorId="0" ref="J1">
      <text>
        <t xml:space="preserve">======
ID#AAABscaylok
    (2025-10-14 05:05:01)
실제로 실행 순서를 실행한 결과를 입력</t>
      </text>
    </comment>
    <comment authorId="0" ref="E1">
      <text>
        <t xml:space="preserve">======
ID#AAABscayloc
    (2025-10-14 05:05:01)
사용자가 케이스의 내용을 빠르게 파악할 수 있도록 요약함</t>
      </text>
    </comment>
    <comment authorId="0" ref="H1">
      <text>
        <t xml:space="preserve">======
ID#AAABscayloU
    (2025-10-14 05:05:01)
실행 순서에 대해 기대되는 결과를 입력</t>
      </text>
    </comment>
    <comment authorId="0" ref="G1">
      <text>
        <t xml:space="preserve">======
ID#AAABscaylog
    (2025-10-14 05:05:01)
해당 케이스의 직접적인 실행 순서를 작성</t>
      </text>
    </comment>
    <comment authorId="0" ref="C1">
      <text>
        <t xml:space="preserve">======
ID#AAABscayloY
    (2025-10-14 05:05:01)
모듈의 집합을 알기 쉽도록 명칭</t>
      </text>
    </comment>
    <comment authorId="0" ref="A1">
      <text>
        <t xml:space="preserve">======
ID#AAABscayloQ
    (2025-10-14 05:05:01)
케이스 번호, 카운트 용도</t>
      </text>
    </comment>
  </commentList>
  <extLst>
    <ext uri="GoogleSheetsCustomDataVersion2">
      <go:sheetsCustomData xmlns:go="http://customooxmlschemas.google.com/" r:id="rId1" roundtripDataSignature="AMtx7mgps2X/FaOG3ZaxyEc3MjSLERHtFw=="/>
    </ext>
  </extLst>
</comments>
</file>

<file path=xl/sharedStrings.xml><?xml version="1.0" encoding="utf-8"?>
<sst xmlns="http://schemas.openxmlformats.org/spreadsheetml/2006/main" count="140" uniqueCount="105">
  <si>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</si>
  <si>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</si>
  <si>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</si>
  <si>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</si>
  <si>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</si>
  <si>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</si>
  <si>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</si>
  <si>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</si>
  <si>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</si>
  <si>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</si>
  <si>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</si>
  <si>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</si>
  <si>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</si>
  <si>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</si>
  <si>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클라이언트를 실행한다</t>
  </si>
  <si>
    <t>인게임 시작전</t>
  </si>
  <si>
    <t>1. "EclipseClassy.exe" 파일실행</t>
  </si>
  <si>
    <t>파일이 정상적으로 실행된다</t>
  </si>
  <si>
    <t>Pass</t>
  </si>
  <si>
    <t>이클립스클래시_BugTrackingList</t>
  </si>
  <si>
    <t>윈도우</t>
  </si>
  <si>
    <t>최소화</t>
  </si>
  <si>
    <t>창을 최소화 한다</t>
  </si>
  <si>
    <t>1. 최소화 버튼 클릭</t>
  </si>
  <si>
    <t>창이 최소화 된다</t>
  </si>
  <si>
    <t>이클립스클래시_테스트 결과 보고서.xlsx</t>
  </si>
  <si>
    <t>닫기</t>
  </si>
  <si>
    <t>윈도우를 닫는다</t>
  </si>
  <si>
    <t>1. 상단 X버튼 클릭</t>
  </si>
  <si>
    <t>창이 꺼지며 게임이 종료된다</t>
  </si>
  <si>
    <t>메뉴기능</t>
  </si>
  <si>
    <t>게임메뉴</t>
  </si>
  <si>
    <t>닉네임 설정</t>
  </si>
  <si>
    <t>플레이어 닉네임을 설정한다</t>
  </si>
  <si>
    <t xml:space="preserve">1. Input Your Nickname 클릭
2. 닉네임을 입력한다
</t>
  </si>
  <si>
    <t>플레이어 닉네임이 설정된다</t>
  </si>
  <si>
    <t>룸 이름 설정</t>
  </si>
  <si>
    <t>룸 이름을 설정한다</t>
  </si>
  <si>
    <t xml:space="preserve">1. Room Name 클릭
2. 룸 이름을 입력한다
</t>
  </si>
  <si>
    <t>룸 이름이 설정된다</t>
  </si>
  <si>
    <t>룸 생성</t>
  </si>
  <si>
    <t>1 vs 1 랜덤 룸에 참여한다</t>
  </si>
  <si>
    <t xml:space="preserve">1. 1vs1을 클릭한다
2. Random room을 클릭한다
3. 1vs1 랜덤 룸이 생성되고 룸에 입장한다
</t>
  </si>
  <si>
    <t>1 vs 1 랜덤 룸에 입장된다</t>
  </si>
  <si>
    <t>2 vs 2 랜덤 룸에 참여한다</t>
  </si>
  <si>
    <t>1. 2vs2를 클릭한다
2. Random room을 클릭한다
3. 2vs2 랜덤 룸이 생성되고 룸에 입장한다</t>
  </si>
  <si>
    <t>2 vs 2 랜덤 룸에 입장된다</t>
  </si>
  <si>
    <t>3 vs 3 랜덤 룸에 참여한다</t>
  </si>
  <si>
    <t>1. 3vs3을 클릭한다
2. Random room을 클릭한다
3. 3vs3 랜덤 룸이 생성되고 룸에 입장한다</t>
  </si>
  <si>
    <t>3 vs 3 랜덤 룸에 입장된다</t>
  </si>
  <si>
    <t>1 vs 1 룸이 생성된다</t>
  </si>
  <si>
    <t>1. 1vs1을 클릭한다
2. Create room을 클릭한다
3. 1vs1 룸이 생성되고 룸에 입장한다</t>
  </si>
  <si>
    <t>생성된 1 vs 1 룸에 입장된다</t>
  </si>
  <si>
    <t>2 vs 2 룸이 생성된다</t>
  </si>
  <si>
    <t>1. 2vs2를 클릭한다
2. Create room을 클릭한다
3. 2vs2 룸이 생성되고 룸에 입장한다</t>
  </si>
  <si>
    <t>생성된 2 vs 2 룸에 입장된다</t>
  </si>
  <si>
    <t>3 vs 3 룸이 생성된다</t>
  </si>
  <si>
    <t>1. 3vs3을 클릭한다
2. Create room을 클릭한다
3. 3vs3 룸이 생성되고 룸에 입장한다</t>
  </si>
  <si>
    <t>생성된 3 vs 3 룸에 입장된다</t>
  </si>
  <si>
    <t>룸</t>
  </si>
  <si>
    <t>팀을 Red Team으로 변경한다</t>
  </si>
  <si>
    <t>To Red 버튼 활성화</t>
  </si>
  <si>
    <t xml:space="preserve">1. To Red 버튼 클릭
2. 팀이 Red Team으로 변경된다
</t>
  </si>
  <si>
    <t>팀이 Red Team으로 변경된다</t>
  </si>
  <si>
    <t>팀을 Blue Team으로 변경한다</t>
  </si>
  <si>
    <t>To Blue 버튼 활성화</t>
  </si>
  <si>
    <t>1. To Blue 버튼 클릭
2. 팀이 Blue Team으로 변경된다</t>
  </si>
  <si>
    <t>팀이 Blue Team으로 변경된다</t>
  </si>
  <si>
    <t>플레이어를 준비 상태로 변경한다</t>
  </si>
  <si>
    <t>Ready 버튼 활성화</t>
  </si>
  <si>
    <t xml:space="preserve">1. Ready 버튼 클릭
2. 플레이어가 준비 상태로 변경된다
</t>
  </si>
  <si>
    <t>대기중인 룸을 나간다</t>
  </si>
  <si>
    <t>Exit room 버튼 활성화</t>
  </si>
  <si>
    <t>1. Exit room 클릭
2. 룸이 나가진다</t>
  </si>
  <si>
    <t>Start game 버튼을 클릭한 뒤 인게임으로 진입한다</t>
  </si>
  <si>
    <t>플레이어 전원 준비 상태</t>
  </si>
  <si>
    <t xml:space="preserve">1. 플레이어 전원이 준비 상태로 변경된다
2. Start game 버튼이 활성화된다
3. Start game 버튼 클릭
4. 인게임 화면으로 진입한다
</t>
  </si>
  <si>
    <t>인게임 화면으로 진입한다</t>
  </si>
  <si>
    <t>캐릭터 선택</t>
  </si>
  <si>
    <t>인게임기능</t>
  </si>
  <si>
    <t>HUD</t>
  </si>
  <si>
    <t>캐릭터 공격</t>
  </si>
  <si>
    <t>캐릭터 이동</t>
  </si>
  <si>
    <t>앞으로 이동</t>
  </si>
  <si>
    <t>W키를 누르면 캐릭터가 앞으로 전진한다</t>
  </si>
  <si>
    <t>1. W키 입력
2. 캐릭터가 앞으로 이동하는지 확인한다</t>
  </si>
  <si>
    <t>왼쪽으로 이동</t>
  </si>
  <si>
    <t>A키를 누르면 캐릭터가 왼쪽으로 이동한다</t>
  </si>
  <si>
    <t>1. A키 입력
2. 캐릭터가 앞으로 이동하는지 확인한다</t>
  </si>
  <si>
    <t>오른쪽으로 이동</t>
  </si>
  <si>
    <t>D키를 누르면 캐릭터가 오른쪽으로 이동한다</t>
  </si>
  <si>
    <t>1. D키 입력
2. 캐릭터가 앞으로 이동하는지 확인한다</t>
  </si>
  <si>
    <t>뒤로 이동</t>
  </si>
  <si>
    <t>S키를 누르면 캐릭터가 뒤로 후진한다</t>
  </si>
  <si>
    <t>1. S키 입력
2. 캐릭터가 앞으로 이동하는지 확인한다</t>
  </si>
  <si>
    <t>테스트케이스 현황</t>
  </si>
  <si>
    <t>분류</t>
  </si>
  <si>
    <t>개수</t>
  </si>
  <si>
    <t>비율</t>
  </si>
  <si>
    <t>Fail</t>
  </si>
  <si>
    <t>N/A</t>
  </si>
  <si>
    <t>Block</t>
  </si>
  <si>
    <t>N/T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</si>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</sst>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ptos Narrow"/>
      <scheme val="minor"/>
    </font>
    <font>
      <b/>
      <sz val="9.0"/>
      <color theme="1"/>
      <name val="Verdana"/>
    </font>
    <font>
      <color theme="1"/>
      <name val="Aptos Narrow"/>
      <scheme val="minor"/>
    </font>
    <font>
      <sz val="9.0"/>
      <color theme="1"/>
      <name val="Verdana"/>
    </font>
    <font>
      <u/>
      <color theme="1"/>
      <name val="Aptos Narrow"/>
      <scheme val="minor"/>
    </font>
    <font/>
    <font>
      <u/>
      <color theme="1"/>
      <name val="Arial"/>
    </font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shrinkToFit="0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  <xf borderId="6" fillId="0" fontId="5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7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8" fillId="3" fontId="8" numFmtId="0" xfId="0" applyAlignment="1" applyBorder="1" applyFill="1" applyFont="1">
      <alignment shrinkToFit="0" wrapText="1"/>
    </xf>
    <xf borderId="8" fillId="4" fontId="9" numFmtId="0" xfId="0" applyAlignment="1" applyBorder="1" applyFill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9" xfId="0" applyAlignment="1" applyFont="1" applyNumberFormat="1">
      <alignment shrinkToFit="0" wrapText="1"/>
    </xf>
    <xf borderId="8" fillId="5" fontId="9" numFmtId="9" xfId="0" applyAlignment="1" applyBorder="1" applyFill="1" applyFont="1" applyNumberFormat="1">
      <alignment shrinkToFit="0" wrapText="1"/>
    </xf>
    <xf borderId="8" fillId="5" fontId="9" numFmtId="0" xfId="0" applyAlignment="1" applyBorder="1" applyFont="1">
      <alignment shrinkToFit="0" wrapText="1"/>
    </xf>
    <xf borderId="8" fillId="6" fontId="9" numFmtId="0" xfId="0" applyAlignment="1" applyBorder="1" applyFill="1" applyFont="1">
      <alignment shrinkToFit="0" wrapText="1"/>
    </xf>
    <xf borderId="8" fillId="6" fontId="9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Pe2RiBhdKef77RD4rm6X0cSGDMVghRDT7LJQsSACmQU/edit?gid=458045165" TargetMode="External"/><Relationship Id="rId3" Type="http://schemas.openxmlformats.org/officeDocument/2006/relationships/hyperlink" Target="https://docs.google.com/spreadsheets/d/1hH8eCmXfAbys438DGy6pAfxBLwHDfV9L/edit?gid=155400860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86"/>
    <col customWidth="1" min="2" max="4" width="12.57"/>
    <col customWidth="1" min="5" max="5" width="40.86"/>
    <col customWidth="1" min="6" max="6" width="16.43"/>
    <col customWidth="1" min="7" max="7" width="39.43"/>
    <col customWidth="1" min="8" max="8" width="30.43"/>
    <col customWidth="1" min="9" max="9" width="13.0"/>
    <col customWidth="1" min="10" max="10" width="18.86"/>
    <col customWidth="1" min="11" max="11" width="29.71"/>
    <col customWidth="1" min="12" max="12" width="15.14"/>
    <col customWidth="1" min="13" max="13" width="38.29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/>
    </row>
    <row r="2" ht="12.75" customHeight="1">
      <c r="A2" s="5"/>
      <c r="B2" s="6" t="s">
        <v>12</v>
      </c>
      <c r="C2" s="5" t="s">
        <v>13</v>
      </c>
      <c r="D2" s="5" t="s">
        <v>12</v>
      </c>
      <c r="E2" s="7" t="s">
        <v>14</v>
      </c>
      <c r="F2" s="8" t="s">
        <v>15</v>
      </c>
      <c r="G2" s="8" t="s">
        <v>16</v>
      </c>
      <c r="H2" s="8" t="s">
        <v>17</v>
      </c>
      <c r="I2" s="9" t="s">
        <v>18</v>
      </c>
      <c r="J2" s="10"/>
      <c r="K2" s="10"/>
      <c r="L2" s="11" t="str">
        <f>IF(B2="",L1,B2)</f>
        <v>게임실행</v>
      </c>
      <c r="M2" s="12" t="s">
        <v>19</v>
      </c>
    </row>
    <row r="3" ht="12.75" customHeight="1">
      <c r="A3" s="5"/>
      <c r="B3" s="13"/>
      <c r="C3" s="14" t="s">
        <v>20</v>
      </c>
      <c r="D3" s="9" t="s">
        <v>21</v>
      </c>
      <c r="E3" s="15" t="s">
        <v>22</v>
      </c>
      <c r="F3" s="8" t="s">
        <v>15</v>
      </c>
      <c r="G3" s="8" t="s">
        <v>23</v>
      </c>
      <c r="H3" s="8" t="s">
        <v>24</v>
      </c>
      <c r="I3" s="9" t="s">
        <v>18</v>
      </c>
      <c r="J3" s="10"/>
      <c r="K3" s="10"/>
      <c r="L3" s="16" t="s">
        <v>12</v>
      </c>
      <c r="M3" s="17" t="s">
        <v>25</v>
      </c>
    </row>
    <row r="4" ht="12.75" customHeight="1">
      <c r="A4" s="5"/>
      <c r="B4" s="18"/>
      <c r="C4" s="18"/>
      <c r="D4" s="5" t="s">
        <v>26</v>
      </c>
      <c r="E4" s="19" t="s">
        <v>27</v>
      </c>
      <c r="F4" s="20" t="s">
        <v>15</v>
      </c>
      <c r="G4" s="20" t="s">
        <v>28</v>
      </c>
      <c r="H4" s="20" t="s">
        <v>29</v>
      </c>
      <c r="I4" s="9" t="s">
        <v>18</v>
      </c>
      <c r="J4" s="21"/>
      <c r="K4" s="21"/>
      <c r="L4" s="16" t="s">
        <v>12</v>
      </c>
    </row>
    <row r="5" ht="24.0" customHeight="1">
      <c r="A5" s="5"/>
      <c r="B5" s="6" t="s">
        <v>30</v>
      </c>
      <c r="C5" s="6" t="s">
        <v>31</v>
      </c>
      <c r="D5" s="9" t="s">
        <v>32</v>
      </c>
      <c r="E5" s="22" t="s">
        <v>33</v>
      </c>
      <c r="F5" s="21"/>
      <c r="G5" s="20" t="s">
        <v>34</v>
      </c>
      <c r="H5" s="20" t="s">
        <v>35</v>
      </c>
      <c r="I5" s="9" t="s">
        <v>18</v>
      </c>
      <c r="J5" s="21"/>
      <c r="K5" s="21"/>
      <c r="L5" s="11" t="str">
        <f>IF(B5="",L4,B5)</f>
        <v>메뉴기능</v>
      </c>
    </row>
    <row r="6" ht="24.0" customHeight="1">
      <c r="A6" s="5"/>
      <c r="B6" s="13"/>
      <c r="C6" s="13"/>
      <c r="D6" s="9" t="s">
        <v>36</v>
      </c>
      <c r="E6" s="22" t="s">
        <v>37</v>
      </c>
      <c r="F6" s="21"/>
      <c r="G6" s="20" t="s">
        <v>38</v>
      </c>
      <c r="H6" s="20" t="s">
        <v>39</v>
      </c>
      <c r="I6" s="9" t="s">
        <v>18</v>
      </c>
      <c r="J6" s="21"/>
      <c r="K6" s="21"/>
      <c r="L6" s="16" t="s">
        <v>30</v>
      </c>
    </row>
    <row r="7" ht="32.25" customHeight="1">
      <c r="A7" s="5"/>
      <c r="B7" s="13"/>
      <c r="C7" s="13"/>
      <c r="D7" s="14" t="s">
        <v>40</v>
      </c>
      <c r="E7" s="22" t="s">
        <v>41</v>
      </c>
      <c r="F7" s="21"/>
      <c r="G7" s="20" t="s">
        <v>42</v>
      </c>
      <c r="H7" s="20" t="s">
        <v>43</v>
      </c>
      <c r="I7" s="9" t="s">
        <v>18</v>
      </c>
      <c r="J7" s="21"/>
      <c r="K7" s="21"/>
      <c r="L7" s="11" t="str">
        <f>IF(B7="",L5,B7)</f>
        <v>메뉴기능</v>
      </c>
    </row>
    <row r="8" ht="31.5" customHeight="1">
      <c r="A8" s="5"/>
      <c r="B8" s="13"/>
      <c r="C8" s="13"/>
      <c r="D8" s="13"/>
      <c r="E8" s="22" t="s">
        <v>44</v>
      </c>
      <c r="F8" s="21"/>
      <c r="G8" s="20" t="s">
        <v>45</v>
      </c>
      <c r="H8" s="20" t="s">
        <v>46</v>
      </c>
      <c r="I8" s="9" t="s">
        <v>18</v>
      </c>
      <c r="J8" s="21"/>
      <c r="K8" s="21"/>
      <c r="L8" s="11" t="str">
        <f>IF(B7="",L5,B7)</f>
        <v>메뉴기능</v>
      </c>
    </row>
    <row r="9" ht="36.0" customHeight="1">
      <c r="A9" s="5"/>
      <c r="B9" s="13"/>
      <c r="C9" s="13"/>
      <c r="D9" s="13"/>
      <c r="E9" s="22" t="s">
        <v>47</v>
      </c>
      <c r="F9" s="21"/>
      <c r="G9" s="20" t="s">
        <v>48</v>
      </c>
      <c r="H9" s="20" t="s">
        <v>49</v>
      </c>
      <c r="I9" s="9" t="s">
        <v>18</v>
      </c>
      <c r="J9" s="21"/>
      <c r="K9" s="21"/>
      <c r="L9" s="11" t="str">
        <f>IF(B7="",L5,B7)</f>
        <v>메뉴기능</v>
      </c>
    </row>
    <row r="10" ht="33.0" customHeight="1">
      <c r="A10" s="5"/>
      <c r="B10" s="13"/>
      <c r="C10" s="13"/>
      <c r="D10" s="13"/>
      <c r="E10" s="22" t="s">
        <v>50</v>
      </c>
      <c r="F10" s="21"/>
      <c r="G10" s="20" t="s">
        <v>51</v>
      </c>
      <c r="H10" s="20" t="s">
        <v>52</v>
      </c>
      <c r="I10" s="9" t="s">
        <v>18</v>
      </c>
      <c r="J10" s="21"/>
      <c r="K10" s="21"/>
      <c r="L10" s="11" t="str">
        <f>IF(B7="",L5,B7)</f>
        <v>메뉴기능</v>
      </c>
    </row>
    <row r="11" ht="35.25" customHeight="1">
      <c r="A11" s="5"/>
      <c r="B11" s="13"/>
      <c r="C11" s="13"/>
      <c r="D11" s="13"/>
      <c r="E11" s="22" t="s">
        <v>53</v>
      </c>
      <c r="F11" s="21"/>
      <c r="G11" s="20" t="s">
        <v>54</v>
      </c>
      <c r="H11" s="20" t="s">
        <v>55</v>
      </c>
      <c r="I11" s="9" t="s">
        <v>18</v>
      </c>
      <c r="J11" s="21"/>
      <c r="K11" s="21"/>
      <c r="L11" s="11" t="str">
        <f>IF(B7="",L5,B7)</f>
        <v>메뉴기능</v>
      </c>
    </row>
    <row r="12" ht="36.75" customHeight="1">
      <c r="A12" s="5"/>
      <c r="B12" s="13"/>
      <c r="C12" s="13"/>
      <c r="D12" s="18"/>
      <c r="E12" s="22" t="s">
        <v>56</v>
      </c>
      <c r="F12" s="21"/>
      <c r="G12" s="20" t="s">
        <v>57</v>
      </c>
      <c r="H12" s="20" t="s">
        <v>58</v>
      </c>
      <c r="I12" s="9" t="s">
        <v>18</v>
      </c>
      <c r="J12" s="21"/>
      <c r="K12" s="21"/>
      <c r="L12" s="11" t="str">
        <f>IF(B7="",L5,B7)</f>
        <v>메뉴기능</v>
      </c>
    </row>
    <row r="13" ht="27.0" customHeight="1">
      <c r="A13" s="5"/>
      <c r="B13" s="13"/>
      <c r="C13" s="13"/>
      <c r="D13" s="14" t="s">
        <v>59</v>
      </c>
      <c r="E13" s="22" t="s">
        <v>60</v>
      </c>
      <c r="F13" s="20" t="s">
        <v>61</v>
      </c>
      <c r="G13" s="20" t="s">
        <v>62</v>
      </c>
      <c r="H13" s="20" t="s">
        <v>63</v>
      </c>
      <c r="I13" s="9" t="s">
        <v>18</v>
      </c>
      <c r="J13" s="21"/>
      <c r="K13" s="21"/>
      <c r="L13" s="11" t="str">
        <f>IF(B7="",L5,B7)</f>
        <v>메뉴기능</v>
      </c>
    </row>
    <row r="14" ht="23.25" customHeight="1">
      <c r="A14" s="5"/>
      <c r="B14" s="13"/>
      <c r="C14" s="13"/>
      <c r="D14" s="13"/>
      <c r="E14" s="22" t="s">
        <v>64</v>
      </c>
      <c r="F14" s="20" t="s">
        <v>65</v>
      </c>
      <c r="G14" s="20" t="s">
        <v>66</v>
      </c>
      <c r="H14" s="20" t="s">
        <v>67</v>
      </c>
      <c r="I14" s="9" t="s">
        <v>18</v>
      </c>
      <c r="J14" s="21"/>
      <c r="K14" s="21"/>
      <c r="L14" s="11" t="str">
        <f>IF(B7="",L5,B7)</f>
        <v>메뉴기능</v>
      </c>
    </row>
    <row r="15" ht="22.5" customHeight="1">
      <c r="A15" s="5"/>
      <c r="B15" s="13"/>
      <c r="C15" s="13"/>
      <c r="D15" s="13"/>
      <c r="E15" s="22" t="s">
        <v>68</v>
      </c>
      <c r="F15" s="20" t="s">
        <v>69</v>
      </c>
      <c r="G15" s="20" t="s">
        <v>70</v>
      </c>
      <c r="H15" s="21"/>
      <c r="I15" s="9" t="s">
        <v>18</v>
      </c>
      <c r="J15" s="21"/>
      <c r="K15" s="21"/>
      <c r="L15" s="11" t="str">
        <f>IF(B7="",L5,B7)</f>
        <v>메뉴기능</v>
      </c>
    </row>
    <row r="16" ht="24.0" customHeight="1">
      <c r="A16" s="5"/>
      <c r="B16" s="13"/>
      <c r="C16" s="13"/>
      <c r="D16" s="13"/>
      <c r="E16" s="22" t="s">
        <v>71</v>
      </c>
      <c r="F16" s="20" t="s">
        <v>72</v>
      </c>
      <c r="G16" s="20" t="s">
        <v>73</v>
      </c>
      <c r="H16" s="21"/>
      <c r="I16" s="9" t="s">
        <v>18</v>
      </c>
      <c r="J16" s="21"/>
      <c r="K16" s="21"/>
      <c r="L16" s="11" t="str">
        <f>IF(B7="",L5,B7)</f>
        <v>메뉴기능</v>
      </c>
    </row>
    <row r="17" ht="44.25" customHeight="1">
      <c r="A17" s="5"/>
      <c r="B17" s="13"/>
      <c r="C17" s="13"/>
      <c r="D17" s="18"/>
      <c r="E17" s="22" t="s">
        <v>74</v>
      </c>
      <c r="F17" s="20" t="s">
        <v>75</v>
      </c>
      <c r="G17" s="20" t="s">
        <v>76</v>
      </c>
      <c r="H17" s="20" t="s">
        <v>77</v>
      </c>
      <c r="I17" s="9" t="s">
        <v>18</v>
      </c>
      <c r="J17" s="21"/>
      <c r="K17" s="21"/>
      <c r="L17" s="16" t="s">
        <v>30</v>
      </c>
    </row>
    <row r="18" ht="12.75" customHeight="1">
      <c r="A18" s="5"/>
      <c r="B18" s="13"/>
      <c r="C18" s="13"/>
      <c r="D18" s="14" t="s">
        <v>78</v>
      </c>
      <c r="E18" s="19"/>
      <c r="F18" s="21"/>
      <c r="G18" s="21"/>
      <c r="H18" s="21"/>
      <c r="I18" s="5"/>
      <c r="J18" s="21"/>
      <c r="K18" s="21"/>
      <c r="L18" s="11" t="str">
        <f>IF(B18="",L7,B18)</f>
        <v>메뉴기능</v>
      </c>
    </row>
    <row r="19" ht="12.75" customHeight="1">
      <c r="A19" s="5"/>
      <c r="B19" s="13"/>
      <c r="C19" s="13"/>
      <c r="D19" s="13"/>
      <c r="E19" s="19"/>
      <c r="F19" s="21"/>
      <c r="G19" s="21"/>
      <c r="H19" s="21"/>
      <c r="I19" s="5"/>
      <c r="J19" s="21"/>
      <c r="K19" s="21"/>
      <c r="L19" s="11" t="str">
        <f t="shared" ref="L19:L24" si="1">IF(B19="",L18,B19)</f>
        <v>메뉴기능</v>
      </c>
    </row>
    <row r="20" ht="12.75" customHeight="1">
      <c r="A20" s="5"/>
      <c r="B20" s="13"/>
      <c r="C20" s="13"/>
      <c r="D20" s="13"/>
      <c r="E20" s="19"/>
      <c r="F20" s="21"/>
      <c r="G20" s="21"/>
      <c r="H20" s="21"/>
      <c r="I20" s="5"/>
      <c r="J20" s="21"/>
      <c r="K20" s="21"/>
      <c r="L20" s="11" t="str">
        <f t="shared" si="1"/>
        <v>메뉴기능</v>
      </c>
    </row>
    <row r="21" ht="12.75" customHeight="1">
      <c r="A21" s="5"/>
      <c r="B21" s="13"/>
      <c r="C21" s="13"/>
      <c r="D21" s="13"/>
      <c r="E21" s="19"/>
      <c r="F21" s="21"/>
      <c r="G21" s="21"/>
      <c r="H21" s="21"/>
      <c r="I21" s="5"/>
      <c r="J21" s="21"/>
      <c r="K21" s="21"/>
      <c r="L21" s="11" t="str">
        <f t="shared" si="1"/>
        <v>메뉴기능</v>
      </c>
    </row>
    <row r="22" ht="12.75" customHeight="1">
      <c r="A22" s="5"/>
      <c r="B22" s="13"/>
      <c r="C22" s="13"/>
      <c r="D22" s="13"/>
      <c r="E22" s="19"/>
      <c r="F22" s="21"/>
      <c r="G22" s="21"/>
      <c r="H22" s="21"/>
      <c r="I22" s="5"/>
      <c r="J22" s="21"/>
      <c r="K22" s="21"/>
      <c r="L22" s="11" t="str">
        <f t="shared" si="1"/>
        <v>메뉴기능</v>
      </c>
    </row>
    <row r="23" ht="12.75" customHeight="1">
      <c r="A23" s="5"/>
      <c r="B23" s="13"/>
      <c r="C23" s="13"/>
      <c r="D23" s="13"/>
      <c r="E23" s="19"/>
      <c r="F23" s="21"/>
      <c r="G23" s="21"/>
      <c r="H23" s="21"/>
      <c r="I23" s="5"/>
      <c r="J23" s="21"/>
      <c r="K23" s="21"/>
      <c r="L23" s="11" t="str">
        <f t="shared" si="1"/>
        <v>메뉴기능</v>
      </c>
    </row>
    <row r="24" ht="12.75" customHeight="1">
      <c r="A24" s="5"/>
      <c r="B24" s="18"/>
      <c r="C24" s="18"/>
      <c r="D24" s="18"/>
      <c r="E24" s="19"/>
      <c r="F24" s="21"/>
      <c r="G24" s="21"/>
      <c r="H24" s="21"/>
      <c r="I24" s="5"/>
      <c r="J24" s="21"/>
      <c r="K24" s="21"/>
      <c r="L24" s="11" t="str">
        <f t="shared" si="1"/>
        <v>메뉴기능</v>
      </c>
    </row>
    <row r="25" ht="12.75" customHeight="1">
      <c r="A25" s="5"/>
      <c r="B25" s="6" t="s">
        <v>79</v>
      </c>
      <c r="C25" s="6" t="s">
        <v>80</v>
      </c>
      <c r="D25" s="6"/>
      <c r="E25" s="19"/>
      <c r="F25" s="21"/>
      <c r="G25" s="21"/>
      <c r="H25" s="21"/>
      <c r="I25" s="5"/>
      <c r="J25" s="21"/>
      <c r="K25" s="21"/>
      <c r="L25" s="11" t="str">
        <f>IF(B25="",#REF!,B25)</f>
        <v>인게임기능</v>
      </c>
    </row>
    <row r="26" ht="12.75" customHeight="1">
      <c r="A26" s="5"/>
      <c r="B26" s="13"/>
      <c r="C26" s="13"/>
      <c r="D26" s="18"/>
      <c r="E26" s="19"/>
      <c r="F26" s="21"/>
      <c r="G26" s="21"/>
      <c r="H26" s="21"/>
      <c r="I26" s="5"/>
      <c r="J26" s="21"/>
      <c r="K26" s="21"/>
      <c r="L26" s="11" t="str">
        <f t="shared" ref="L26:L30" si="2">IF(B26="",L25,B26)</f>
        <v>인게임기능</v>
      </c>
    </row>
    <row r="27" ht="12.75" customHeight="1">
      <c r="A27" s="5"/>
      <c r="B27" s="13"/>
      <c r="C27" s="13"/>
      <c r="D27" s="6"/>
      <c r="E27" s="19"/>
      <c r="F27" s="21"/>
      <c r="G27" s="21"/>
      <c r="H27" s="21"/>
      <c r="I27" s="5"/>
      <c r="J27" s="21"/>
      <c r="K27" s="21"/>
      <c r="L27" s="11" t="str">
        <f t="shared" si="2"/>
        <v>인게임기능</v>
      </c>
    </row>
    <row r="28" ht="12.75" customHeight="1">
      <c r="A28" s="5"/>
      <c r="B28" s="13"/>
      <c r="C28" s="13"/>
      <c r="D28" s="18"/>
      <c r="E28" s="19"/>
      <c r="F28" s="21"/>
      <c r="G28" s="21"/>
      <c r="H28" s="21"/>
      <c r="I28" s="5"/>
      <c r="J28" s="21"/>
      <c r="K28" s="21"/>
      <c r="L28" s="11" t="str">
        <f t="shared" si="2"/>
        <v>인게임기능</v>
      </c>
    </row>
    <row r="29" ht="12.75" customHeight="1">
      <c r="A29" s="5"/>
      <c r="B29" s="13"/>
      <c r="C29" s="13"/>
      <c r="D29" s="6"/>
      <c r="E29" s="19"/>
      <c r="F29" s="21"/>
      <c r="G29" s="21"/>
      <c r="H29" s="21"/>
      <c r="I29" s="5"/>
      <c r="J29" s="21"/>
      <c r="K29" s="21"/>
      <c r="L29" s="11" t="str">
        <f t="shared" si="2"/>
        <v>인게임기능</v>
      </c>
    </row>
    <row r="30" ht="12.75" customHeight="1">
      <c r="A30" s="5"/>
      <c r="B30" s="13"/>
      <c r="C30" s="18"/>
      <c r="D30" s="18"/>
      <c r="E30" s="19"/>
      <c r="F30" s="21"/>
      <c r="G30" s="21"/>
      <c r="H30" s="21"/>
      <c r="I30" s="5"/>
      <c r="J30" s="21"/>
      <c r="K30" s="21"/>
      <c r="L30" s="11" t="str">
        <f t="shared" si="2"/>
        <v>인게임기능</v>
      </c>
    </row>
    <row r="31" ht="86.25" customHeight="1">
      <c r="A31" s="5"/>
      <c r="B31" s="13"/>
      <c r="C31" s="9" t="s">
        <v>81</v>
      </c>
      <c r="D31" s="5"/>
      <c r="E31" s="19"/>
      <c r="F31" s="21"/>
      <c r="G31" s="21"/>
      <c r="H31" s="21"/>
      <c r="I31" s="5"/>
      <c r="J31" s="21"/>
      <c r="K31" s="21"/>
      <c r="L31" s="16" t="s">
        <v>79</v>
      </c>
    </row>
    <row r="32" ht="29.25" customHeight="1">
      <c r="A32" s="5"/>
      <c r="B32" s="13"/>
      <c r="C32" s="14" t="s">
        <v>82</v>
      </c>
      <c r="D32" s="9" t="s">
        <v>83</v>
      </c>
      <c r="E32" s="22" t="s">
        <v>84</v>
      </c>
      <c r="F32" s="21"/>
      <c r="G32" s="20" t="s">
        <v>85</v>
      </c>
      <c r="H32" s="21"/>
      <c r="I32" s="9" t="s">
        <v>18</v>
      </c>
      <c r="J32" s="21"/>
      <c r="K32" s="21"/>
      <c r="L32" s="11" t="str">
        <f>IF(B32="",L30,B32)</f>
        <v>인게임기능</v>
      </c>
    </row>
    <row r="33" ht="27.0" customHeight="1">
      <c r="A33" s="5"/>
      <c r="B33" s="13"/>
      <c r="C33" s="13"/>
      <c r="D33" s="9" t="s">
        <v>86</v>
      </c>
      <c r="E33" s="22" t="s">
        <v>87</v>
      </c>
      <c r="F33" s="21"/>
      <c r="G33" s="20" t="s">
        <v>88</v>
      </c>
      <c r="H33" s="21"/>
      <c r="I33" s="9" t="s">
        <v>18</v>
      </c>
      <c r="J33" s="21"/>
      <c r="K33" s="21"/>
      <c r="L33" s="16" t="s">
        <v>79</v>
      </c>
    </row>
    <row r="34" ht="26.25" customHeight="1">
      <c r="A34" s="5"/>
      <c r="B34" s="13"/>
      <c r="C34" s="13"/>
      <c r="D34" s="9" t="s">
        <v>89</v>
      </c>
      <c r="E34" s="22" t="s">
        <v>90</v>
      </c>
      <c r="F34" s="21"/>
      <c r="G34" s="20" t="s">
        <v>91</v>
      </c>
      <c r="H34" s="21"/>
      <c r="I34" s="9" t="s">
        <v>18</v>
      </c>
      <c r="J34" s="21"/>
      <c r="K34" s="21"/>
      <c r="L34" s="11" t="str">
        <f>IF(B34="",L33,B34)</f>
        <v>인게임기능</v>
      </c>
    </row>
    <row r="35" ht="26.25" customHeight="1">
      <c r="A35" s="5"/>
      <c r="B35" s="18"/>
      <c r="C35" s="18"/>
      <c r="D35" s="9" t="s">
        <v>92</v>
      </c>
      <c r="E35" s="22" t="s">
        <v>93</v>
      </c>
      <c r="F35" s="21"/>
      <c r="G35" s="20" t="s">
        <v>94</v>
      </c>
      <c r="H35" s="21"/>
      <c r="I35" s="9" t="s">
        <v>18</v>
      </c>
      <c r="J35" s="21"/>
      <c r="K35" s="21"/>
      <c r="L35" s="16" t="s">
        <v>79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</sheetData>
  <mergeCells count="13">
    <mergeCell ref="C25:C30"/>
    <mergeCell ref="D29:D30"/>
    <mergeCell ref="B2:B4"/>
    <mergeCell ref="C3:C4"/>
    <mergeCell ref="D7:D12"/>
    <mergeCell ref="C5:C24"/>
    <mergeCell ref="B5:B24"/>
    <mergeCell ref="D13:D17"/>
    <mergeCell ref="D18:D24"/>
    <mergeCell ref="D25:D26"/>
    <mergeCell ref="D27:D28"/>
    <mergeCell ref="C32:C35"/>
    <mergeCell ref="B25:B35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35">
    <cfRule type="containsBlanks" dxfId="0" priority="11">
      <formula>LEN(TRIM(I1))=0</formula>
    </cfRule>
  </conditionalFormatting>
  <conditionalFormatting sqref="I1:I35">
    <cfRule type="containsText" dxfId="5" priority="12" operator="containsText" text="N/T">
      <formula>NOT(ISERROR(SEARCH(("N/T"),(I1))))</formula>
    </cfRule>
  </conditionalFormatting>
  <conditionalFormatting sqref="I2:I35">
    <cfRule type="containsText" dxfId="1" priority="13" operator="containsText" text="Pass">
      <formula>NOT(ISERROR(SEARCH(("Pass"),(I2))))</formula>
    </cfRule>
  </conditionalFormatting>
  <conditionalFormatting sqref="I2:I35">
    <cfRule type="containsText" dxfId="2" priority="14" operator="containsText" text="Fail">
      <formula>NOT(ISERROR(SEARCH(("Fail"),(I2))))</formula>
    </cfRule>
  </conditionalFormatting>
  <conditionalFormatting sqref="I2:I35">
    <cfRule type="containsText" dxfId="3" priority="15" operator="containsText" text="Block">
      <formula>NOT(ISERROR(SEARCH(("Block"),(I2))))</formula>
    </cfRule>
  </conditionalFormatting>
  <conditionalFormatting sqref="I2:I35">
    <cfRule type="containsText" dxfId="4" priority="16" operator="containsText" text="N/A">
      <formula>NOT(ISERROR(SEARCH(("N/A"),(I2))))</formula>
    </cfRule>
  </conditionalFormatting>
  <conditionalFormatting sqref="J1:L1">
    <cfRule type="containsBlanks" dxfId="0" priority="17">
      <formula>LEN(TRIM(J1))=0</formula>
    </cfRule>
  </conditionalFormatting>
  <conditionalFormatting sqref="J1:L1">
    <cfRule type="containsText" dxfId="1" priority="18" operator="containsText" text="Pass">
      <formula>NOT(ISERROR(SEARCH(("Pass"),(J1))))</formula>
    </cfRule>
  </conditionalFormatting>
  <conditionalFormatting sqref="J1:L1">
    <cfRule type="containsText" dxfId="2" priority="19" operator="containsText" text="Fail">
      <formula>NOT(ISERROR(SEARCH(("Fail"),(J1))))</formula>
    </cfRule>
  </conditionalFormatting>
  <conditionalFormatting sqref="J1:L1">
    <cfRule type="containsText" dxfId="3" priority="20" operator="containsText" text="Block">
      <formula>NOT(ISERROR(SEARCH(("Block"),(J1))))</formula>
    </cfRule>
  </conditionalFormatting>
  <conditionalFormatting sqref="J1:L1">
    <cfRule type="containsText" dxfId="4" priority="21" operator="containsText" text="N/A">
      <formula>NOT(ISERROR(SEARCH(("N/A"),(J1))))</formula>
    </cfRule>
  </conditionalFormatting>
  <conditionalFormatting sqref="J1:L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35">
      <formula1>"Pass,Fail,Block,N/A,N/T"</formula1>
    </dataValidation>
  </dataValidations>
  <hyperlinks>
    <hyperlink r:id="rId2" location="gid=458045165" ref="M2"/>
    <hyperlink r:id="rId3" location="gid=1554008604" ref="M3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23" t="s">
        <v>95</v>
      </c>
    </row>
    <row r="2" ht="12.75" customHeight="1">
      <c r="A2" s="24" t="s">
        <v>96</v>
      </c>
      <c r="B2" s="24" t="s">
        <v>97</v>
      </c>
      <c r="C2" s="24" t="s">
        <v>98</v>
      </c>
      <c r="D2" s="24" t="s">
        <v>18</v>
      </c>
      <c r="E2" s="24" t="s">
        <v>99</v>
      </c>
      <c r="F2" s="24" t="s">
        <v>100</v>
      </c>
      <c r="G2" s="24" t="s">
        <v>101</v>
      </c>
      <c r="H2" s="24" t="s">
        <v>102</v>
      </c>
      <c r="I2" s="24" t="s">
        <v>103</v>
      </c>
      <c r="J2" s="24" t="s">
        <v>104</v>
      </c>
    </row>
    <row r="3" ht="12.75" customHeight="1">
      <c r="A3" s="25" t="s">
        <v>12</v>
      </c>
      <c r="B3" s="26">
        <f>COUNTIF(TestCase!L:L,A3)</f>
        <v>3</v>
      </c>
      <c r="C3" s="27">
        <f t="shared" ref="C3:C5" si="1">IFERROR(B3/$B$6,0)</f>
        <v>0.08823529412</v>
      </c>
      <c r="D3" s="26">
        <f>COUNTIFS(TestCase!$I:$I,"*"&amp;D$2&amp;"*",TestCase!$L:$L,$A3)</f>
        <v>3</v>
      </c>
      <c r="E3" s="26">
        <f>COUNTIFS(TestCase!$I:$I,"*"&amp;E$2&amp;"*",TestCase!$L:$L,$A3)</f>
        <v>0</v>
      </c>
      <c r="F3" s="26">
        <f>COUNTIFS(TestCase!$I:$I,"*"&amp;F$2&amp;"*",TestCase!$L:$L,$A3)</f>
        <v>0</v>
      </c>
      <c r="G3" s="26">
        <f>COUNTIFS(TestCase!$I:$I,"*"&amp;G$2&amp;"*",TestCase!$L:$L,$A3)</f>
        <v>0</v>
      </c>
      <c r="H3" s="26">
        <f>COUNTIFS(TestCase!$I:$I,"*"&amp;H$2&amp;"*",TestCase!$L:$L,$A3)</f>
        <v>0</v>
      </c>
      <c r="I3" s="26">
        <f>COUNTIFS(TestCase!$I:$I,"*"&amp;I$2&amp;"*",TestCase!$L:$L,$A3)</f>
        <v>0</v>
      </c>
      <c r="J3" s="28">
        <f t="shared" ref="J3:J5" si="2">I3/B3</f>
        <v>0</v>
      </c>
    </row>
    <row r="4" ht="12.75" customHeight="1">
      <c r="A4" s="25" t="s">
        <v>30</v>
      </c>
      <c r="B4" s="26">
        <f>COUNTIF(TestCase!L:L,A4)</f>
        <v>20</v>
      </c>
      <c r="C4" s="27">
        <f t="shared" si="1"/>
        <v>0.5882352941</v>
      </c>
      <c r="D4" s="26">
        <f>COUNTIFS(TestCase!$I:$I,"*"&amp;D$2&amp;"*",TestCase!$L:$L,$A4)</f>
        <v>13</v>
      </c>
      <c r="E4" s="26">
        <f>COUNTIFS(TestCase!$I:$I,"*"&amp;E$2&amp;"*",TestCase!$L:$L,$A4)</f>
        <v>0</v>
      </c>
      <c r="F4" s="26">
        <f>COUNTIFS(TestCase!$I:$I,"*"&amp;F$2&amp;"*",TestCase!$L:$L,$A4)</f>
        <v>0</v>
      </c>
      <c r="G4" s="26">
        <f>COUNTIFS(TestCase!$I:$I,"*"&amp;G$2&amp;"*",TestCase!$L:$L,$A4)</f>
        <v>0</v>
      </c>
      <c r="H4" s="26">
        <f>COUNTIFS(TestCase!$I:$I,"*"&amp;H$2&amp;"*",TestCase!$L:$L,$A4)</f>
        <v>0</v>
      </c>
      <c r="I4" s="29">
        <f t="shared" ref="I4:I5" si="3">SUM(D4:H4)</f>
        <v>13</v>
      </c>
      <c r="J4" s="28">
        <f t="shared" si="2"/>
        <v>0.65</v>
      </c>
    </row>
    <row r="5" ht="12.75" customHeight="1">
      <c r="A5" s="25" t="s">
        <v>79</v>
      </c>
      <c r="B5" s="26">
        <f>COUNTIF(TestCase!L:L,A5)</f>
        <v>11</v>
      </c>
      <c r="C5" s="27">
        <f t="shared" si="1"/>
        <v>0.3235294118</v>
      </c>
      <c r="D5" s="26">
        <f>COUNTIFS(TestCase!$I:$I,"*"&amp;D$2&amp;"*",TestCase!$L:$L,$A5)</f>
        <v>4</v>
      </c>
      <c r="E5" s="26">
        <f>COUNTIFS(TestCase!$I:$I,"*"&amp;E$2&amp;"*",TestCase!$L:$L,$A5)</f>
        <v>0</v>
      </c>
      <c r="F5" s="26">
        <f>COUNTIFS(TestCase!$I:$I,"*"&amp;F$2&amp;"*",TestCase!$L:$L,$A5)</f>
        <v>0</v>
      </c>
      <c r="G5" s="26">
        <f>COUNTIFS(TestCase!$I:$I,"*"&amp;G$2&amp;"*",TestCase!$L:$L,$A5)</f>
        <v>0</v>
      </c>
      <c r="H5" s="26">
        <f>COUNTIFS(TestCase!$I:$I,"*"&amp;H$2&amp;"*",TestCase!$L:$L,$A5)</f>
        <v>0</v>
      </c>
      <c r="I5" s="29">
        <f t="shared" si="3"/>
        <v>4</v>
      </c>
      <c r="J5" s="28">
        <f t="shared" si="2"/>
        <v>0.3636363636</v>
      </c>
    </row>
    <row r="6" ht="12.75" customHeight="1">
      <c r="A6" s="30" t="s">
        <v>103</v>
      </c>
      <c r="B6" s="30">
        <f t="shared" ref="B6:I6" si="4">SUM(B3:B5)</f>
        <v>34</v>
      </c>
      <c r="C6" s="31">
        <f t="shared" si="4"/>
        <v>1</v>
      </c>
      <c r="D6" s="29">
        <f t="shared" si="4"/>
        <v>20</v>
      </c>
      <c r="E6" s="29">
        <f t="shared" si="4"/>
        <v>0</v>
      </c>
      <c r="F6" s="29">
        <f t="shared" si="4"/>
        <v>0</v>
      </c>
      <c r="G6" s="29">
        <f t="shared" si="4"/>
        <v>0</v>
      </c>
      <c r="H6" s="29">
        <f t="shared" si="4"/>
        <v>0</v>
      </c>
      <c r="I6" s="29">
        <f t="shared" si="4"/>
        <v>17</v>
      </c>
      <c r="J6" s="29"/>
    </row>
    <row r="7" ht="12.75" customHeight="1">
      <c r="A7" s="30" t="s">
        <v>104</v>
      </c>
      <c r="B7" s="30"/>
      <c r="C7" s="30"/>
      <c r="D7" s="28">
        <f t="shared" ref="D7:I7" si="5">D6/$B6</f>
        <v>0.5882352941</v>
      </c>
      <c r="E7" s="28">
        <f t="shared" si="5"/>
        <v>0</v>
      </c>
      <c r="F7" s="28">
        <f t="shared" si="5"/>
        <v>0</v>
      </c>
      <c r="G7" s="28">
        <f t="shared" si="5"/>
        <v>0</v>
      </c>
      <c r="H7" s="28">
        <f t="shared" si="5"/>
        <v>0</v>
      </c>
      <c r="I7" s="28">
        <f t="shared" si="5"/>
        <v>0.5</v>
      </c>
      <c r="J7" s="29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