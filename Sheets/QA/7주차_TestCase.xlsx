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TestCase!$B$1:$J$1</definedName>
  </definedNames>
  <calcPr/>
  <extLst>
    <ext uri="GoogleSheetsCustomDataVersion2">
      <go:sheetsCustomData xmlns:go="http://customooxmlschemas.google.com/" r:id="rId6" roundtripDataChecksum="pVIKrsSGqvRUj8YQUaqSgD3wHfnKBl5W3qzNCXchT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ID#AAABscayloo
    (2025-10-14 05:05:01)
실행방법 실행전 충족되야하는 조건</t>
      </text>
    </comment>
    <comment authorId="0" ref="D1">
      <text>
        <t xml:space="preserve">======
ID#AAABscaylos
    (2025-10-14 05:05:01)
모듈단위 분류</t>
      </text>
    </comment>
    <comment authorId="0" ref="B1">
      <text>
        <t xml:space="preserve">======
ID#AAABscaylow
    (2025-10-14 05:05:01)
프로그램의 가장 큰단위로 나눌 수 있는 시스템 범주</t>
      </text>
    </comment>
    <comment authorId="0" ref="J1">
      <text>
        <t xml:space="preserve">======
ID#AAABscaylok
    (2025-10-14 05:05:01)
실제로 실행 순서를 실행한 결과를 입력</t>
      </text>
    </comment>
    <comment authorId="0" ref="E1">
      <text>
        <t xml:space="preserve">======
ID#AAABscayloc
    (2025-10-14 05:05:01)
사용자가 케이스의 내용을 빠르게 파악할 수 있도록 요약함</t>
      </text>
    </comment>
    <comment authorId="0" ref="H1">
      <text>
        <t xml:space="preserve">======
ID#AAABscayloU
    (2025-10-14 05:05:01)
실행 순서에 대해 기대되는 결과를 입력</t>
      </text>
    </comment>
    <comment authorId="0" ref="G1">
      <text>
        <t xml:space="preserve">======
ID#AAABscaylog
    (2025-10-14 05:05:01)
해당 케이스의 직접적인 실행 순서를 작성</t>
      </text>
    </comment>
    <comment authorId="0" ref="C1">
      <text>
        <t xml:space="preserve">======
ID#AAABscayloY
    (2025-10-14 05:05:01)
모듈의 집합을 알기 쉽도록 명칭</t>
      </text>
    </comment>
    <comment authorId="0" ref="A1">
      <text>
        <t xml:space="preserve">======
ID#AAABscayloQ
    (2025-10-14 05:05:01)
케이스 번호, 카운트 용도</t>
      </text>
    </comment>
  </commentList>
  <extLst>
    <ext uri="GoogleSheetsCustomDataVersion2">
      <go:sheetsCustomData xmlns:go="http://customooxmlschemas.google.com/" r:id="rId1" roundtripDataSignature="AMtx7mgps2X/FaOG3ZaxyEc3MjSLERHtFw=="/>
    </ext>
  </extLst>
</comments>
</file>

<file path=xl/sharedStrings.xml><?xml version="1.0" encoding="utf-8"?>
<sst xmlns="http://schemas.openxmlformats.org/spreadsheetml/2006/main" count="291" uniqueCount="160">
  <si>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</si>
  <si>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</si>
  <si>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</si>
  <si>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</si>
  <si>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</si>
  <si>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</si>
  <si>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</si>
  <si>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</si>
  <si>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</si>
  <si>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</si>
  <si>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Tag</t>
  </si>
  <si>
    <t>게임실행</t>
  </si>
  <si>
    <t>실행</t>
  </si>
  <si>
    <t>클라이언트를 실행한다</t>
  </si>
  <si>
    <t>인게임 시작전</t>
  </si>
  <si>
    <t>1. "EclipseClassy.exe" 파일실행</t>
  </si>
  <si>
    <t>파일이 정상적으로 실행된다</t>
  </si>
  <si>
    <t>Pass</t>
  </si>
  <si>
    <t>이클립스클래시_BugTrackingList</t>
  </si>
  <si>
    <t>윈도우</t>
  </si>
  <si>
    <t>최소화</t>
  </si>
  <si>
    <t>창을 최소화 한다</t>
  </si>
  <si>
    <t>1. 최소화 버튼 클릭</t>
  </si>
  <si>
    <t>창이 최소화 된다</t>
  </si>
  <si>
    <t>이클립스클래시_테스트 결과 보고서.xlsx</t>
  </si>
  <si>
    <t>닫기</t>
  </si>
  <si>
    <t>윈도우를 닫는다</t>
  </si>
  <si>
    <t>1. 상단 X버튼 클릭</t>
  </si>
  <si>
    <t>창이 꺼지며 게임이 종료된다</t>
  </si>
  <si>
    <t>메뉴기능</t>
  </si>
  <si>
    <t>게임메뉴</t>
  </si>
  <si>
    <t>닉네임 설정</t>
  </si>
  <si>
    <t>플레이어 닉네임을 설정한다</t>
  </si>
  <si>
    <t>메뉴 화면</t>
  </si>
  <si>
    <t xml:space="preserve">1. Input Your Nickname 클릭
2. 닉네임을 입력한다
</t>
  </si>
  <si>
    <t>플레이어 닉네임이 설정된다</t>
  </si>
  <si>
    <t>룸 이름 설정</t>
  </si>
  <si>
    <t>룸 이름을 설정한다</t>
  </si>
  <si>
    <t xml:space="preserve">1. Room Name 클릭
2. 룸 이름을 입력한다
</t>
  </si>
  <si>
    <t>룸 이름이 설정된다</t>
  </si>
  <si>
    <t>룸 생성</t>
  </si>
  <si>
    <t>1 vs 1 랜덤 룸에 참여한다</t>
  </si>
  <si>
    <t xml:space="preserve">1. 1vs1을 클릭한다
2. Random room을 클릭한다
3. 1vs1 랜덤 룸이 생성되고 룸에 입장한다
</t>
  </si>
  <si>
    <t>1 vs 1 랜덤 룸에 입장된다</t>
  </si>
  <si>
    <t>2 vs 2 랜덤 룸에 참여한다</t>
  </si>
  <si>
    <t>1. 2vs2를 클릭한다
2. Random room을 클릭한다
3. 2vs2 랜덤 룸이 생성되고 룸에 입장한다</t>
  </si>
  <si>
    <t>2 vs 2 랜덤 룸에 입장된다</t>
  </si>
  <si>
    <t>3 vs 3 랜덤 룸에 참여한다</t>
  </si>
  <si>
    <t>1. 3vs3을 클릭한다
2. Random room을 클릭한다
3. 3vs3 랜덤 룸이 생성되고 룸에 입장한다</t>
  </si>
  <si>
    <t>3 vs 3 랜덤 룸에 입장된다</t>
  </si>
  <si>
    <t>1 vs 1 룸이 생성된다</t>
  </si>
  <si>
    <t>1. 1vs1을 클릭한다
2. Create room을 클릭한다
3. 1vs1 룸이 생성되고 룸에 입장한다</t>
  </si>
  <si>
    <t>생성된 1 vs 1 룸에 입장된다</t>
  </si>
  <si>
    <t>2 vs 2 룸이 생성된다</t>
  </si>
  <si>
    <t>1. 2vs2를 클릭한다
2. Create room을 클릭한다
3. 2vs2 룸이 생성되고 룸에 입장한다</t>
  </si>
  <si>
    <t>생성된 2 vs 2 룸에 입장된다</t>
  </si>
  <si>
    <t>3 vs 3 룸이 생성된다</t>
  </si>
  <si>
    <t>1. 3vs3을 클릭한다
2. Create room을 클릭한다
3. 3vs3 룸이 생성되고 룸에 입장한다</t>
  </si>
  <si>
    <t>생성된 3 vs 3 룸에 입장된다</t>
  </si>
  <si>
    <t>룸</t>
  </si>
  <si>
    <t>팀을 Red Team으로 변경한다</t>
  </si>
  <si>
    <t>To Red 버튼 활성화</t>
  </si>
  <si>
    <t xml:space="preserve">1. To Red 버튼 클릭
2. 팀이 Red Team으로 변경된다
</t>
  </si>
  <si>
    <t>팀이 Red Team으로 변경된다</t>
  </si>
  <si>
    <t>팀을 Blue Team으로 변경한다</t>
  </si>
  <si>
    <t>To Blue 버튼 활성화</t>
  </si>
  <si>
    <t>1. To Blue 버튼 클릭
2. 팀이 Blue Team으로 변경된다</t>
  </si>
  <si>
    <t>팀이 Blue Team으로 변경된다</t>
  </si>
  <si>
    <t>플레이어를 준비 상태로 변경한다</t>
  </si>
  <si>
    <t>Ready 버튼 활성화</t>
  </si>
  <si>
    <t xml:space="preserve">1. Ready 버튼 클릭
2. 플레이어가 준비 상태로 변경된다
</t>
  </si>
  <si>
    <t>플레이어가 준비 상태로 변경된다</t>
  </si>
  <si>
    <t>대기중인 룸을 나간다</t>
  </si>
  <si>
    <t>Exit room 버튼 활성화</t>
  </si>
  <si>
    <t>1. Exit room 클릭
2. 룸에서 나가진다</t>
  </si>
  <si>
    <t>룸에서 퇴장한다</t>
  </si>
  <si>
    <t>Start game 버튼을 클릭한 뒤 인게임으로 진입한다</t>
  </si>
  <si>
    <t>플레이어 전원 준비 상태</t>
  </si>
  <si>
    <t xml:space="preserve">1. 플레이어 전원이 준비 상태로 변경된다
2. Start game 버튼이 활성화된다
3. Start game 버튼 클릭
4. 인게임 화면으로 진입한다
</t>
  </si>
  <si>
    <t>인게임 화면으로 진입한다</t>
  </si>
  <si>
    <t>캐릭터 선택</t>
  </si>
  <si>
    <t>루미아를 캐릭터로 선택한다</t>
  </si>
  <si>
    <t>캐릭터 선택 화면</t>
  </si>
  <si>
    <t>1. 루미아를 선택한다</t>
  </si>
  <si>
    <t>루미아가 플레이어블 캐릭터로 선택된다.</t>
  </si>
  <si>
    <t>캐릭터로 선택한다</t>
  </si>
  <si>
    <t>캐릭터로 플레이어블 선택된다.</t>
  </si>
  <si>
    <t>셀레네를 캐릭터로 선택한다</t>
  </si>
  <si>
    <t>셀레네가 캐릭터로 플레이어블 선택된다.</t>
  </si>
  <si>
    <t>N/A</t>
  </si>
  <si>
    <t>캐릭터</t>
  </si>
  <si>
    <t>루미아</t>
  </si>
  <si>
    <t>기본 공격</t>
  </si>
  <si>
    <t>직선 상으로 화살을 발사한다</t>
  </si>
  <si>
    <t>1. 마우스 좌클릭
2. 기본 공격이 발사된다</t>
  </si>
  <si>
    <t>기본 공격이 사용된다</t>
  </si>
  <si>
    <t>인게임기능</t>
  </si>
  <si>
    <t>폭풍화살</t>
  </si>
  <si>
    <t>연속으로 화살 3발을 0.35초당 1발씩 1초간 빠르게 발사한다</t>
  </si>
  <si>
    <t>스킬 - 폭풍화살 활성화</t>
  </si>
  <si>
    <t>1. 마우스 우클릭
2. 스킬이 사용된다</t>
  </si>
  <si>
    <t>스킬-폭풍화살이 사용되며 스킬 쿨타임이 돌아간다</t>
  </si>
  <si>
    <t>대쉬</t>
  </si>
  <si>
    <t>WASD 버튼 방향에 맞추어 4의 거리 만큼 빠르게 이동한다</t>
  </si>
  <si>
    <t>스킬 - 대쉬 활성화</t>
  </si>
  <si>
    <t>1. Shift 키 입력
2. 캐릭터가 입력한 WASD키 방향에 맞추어 4의 거리를 빠르게 이동한다</t>
  </si>
  <si>
    <t>스킬-대쉬가 사용되며 스킬 쿨타임이 돌아간다</t>
  </si>
  <si>
    <t>궁극기</t>
  </si>
  <si>
    <t>명중한 적 플레이어에게 4의 범위에 3초간 초당 50의 데미지를 가한다</t>
  </si>
  <si>
    <t>스킬 - 궁극기 활성화</t>
  </si>
  <si>
    <t>1. R키 입력
2. 스킬 범위가 원형으로 표시된다
3. 스킬 위치 확정 시 스킬이 사용된다</t>
  </si>
  <si>
    <t>스킬-궁극기가 사용되며 스킬 쿨타임이 돌아간다</t>
  </si>
  <si>
    <t>캐릭터 2</t>
  </si>
  <si>
    <t>스킬 1</t>
  </si>
  <si>
    <t>스킬 2</t>
  </si>
  <si>
    <t>캐릭터 3</t>
  </si>
  <si>
    <t>셀레네</t>
  </si>
  <si>
    <t>캐릭터 5</t>
  </si>
  <si>
    <t>캐릭터 6</t>
  </si>
  <si>
    <t>HUD</t>
  </si>
  <si>
    <t>체력 바</t>
  </si>
  <si>
    <t>데미지를 받았을때 플레이어 체력이 줄어든다</t>
  </si>
  <si>
    <t>힐을 받았을 때 체력이 회복된다</t>
  </si>
  <si>
    <t>플레이어가 공격 받아 체력이 줄어든 상태</t>
  </si>
  <si>
    <t>스킬 쿨타임</t>
  </si>
  <si>
    <t>스킬을 사용하면 쿨타임이 표시된다</t>
  </si>
  <si>
    <t>스킬 사용 직후</t>
  </si>
  <si>
    <t>1. 스킬을 사용한다
2. 쿨타임 초세기가 시작되는지 확인한다
3. 쿨타임 초세기가 끝나고 스킬이 다시 활성화 되는지 확인한다</t>
  </si>
  <si>
    <t>스킬 쿨타임이 돌아간다</t>
  </si>
  <si>
    <t>쿨타임이 끝난 후 스킬이 사용 가능한 상태가 된다</t>
  </si>
  <si>
    <t>스킬 쿨타임 종료 후</t>
  </si>
  <si>
    <t>점령 게이지</t>
  </si>
  <si>
    <t>점령하면 2분동안 100% 게이지가 증가한다</t>
  </si>
  <si>
    <t>~하면 게이지가 줄어든다</t>
  </si>
  <si>
    <t xml:space="preserve">카메라 </t>
  </si>
  <si>
    <t>캐릭터 이동</t>
  </si>
  <si>
    <t>점프</t>
  </si>
  <si>
    <t>Spacebar 키를 누르면 캐릭터가 점프한다</t>
  </si>
  <si>
    <t>1. Spacebar 키 입력
2. 캐릭터가 위로 점프 후 착지한다</t>
  </si>
  <si>
    <t>앞으로 이동</t>
  </si>
  <si>
    <t>W키를 누르면 캐릭터가 앞으로 전진한다</t>
  </si>
  <si>
    <t>1. W키 입력
2. 캐릭터가 앞으로 이동하는지 확인한다</t>
  </si>
  <si>
    <t>왼쪽으로 이동</t>
  </si>
  <si>
    <t>A키를 누르면 캐릭터가 왼쪽으로 이동한다</t>
  </si>
  <si>
    <t>1. A키 입력
2. 캐릭터가 앞으로 이동하는지 확인한다</t>
  </si>
  <si>
    <t>오른쪽으로 이동</t>
  </si>
  <si>
    <t>D키를 누르면 캐릭터가 오른쪽으로 이동한다</t>
  </si>
  <si>
    <t>1. D키 입력
2. 캐릭터가 앞으로 이동하는지 확인한다</t>
  </si>
  <si>
    <t>뒤로 이동</t>
  </si>
  <si>
    <t>S키를 누르면 캐릭터가 뒤로 후진한다</t>
  </si>
  <si>
    <t>1. S키 입력
2. 캐릭터가 앞으로 이동하는지 확인한다</t>
  </si>
  <si>
    <t>테스트케이스 현황</t>
  </si>
  <si>
    <t>분류</t>
  </si>
  <si>
    <t>개수</t>
  </si>
  <si>
    <t>비율</t>
  </si>
  <si>
    <t>Fail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</si>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</sst>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ptos Narrow"/>
      <scheme val="minor"/>
    </font>
    <font>
      <b/>
      <sz val="9.0"/>
      <color theme="1"/>
      <name val="Verdana"/>
    </font>
    <font>
      <color theme="1"/>
      <name val="Aptos Narrow"/>
      <scheme val="minor"/>
    </font>
    <font>
      <sz val="9.0"/>
      <color theme="1"/>
      <name val="Verdana"/>
    </font>
    <font>
      <u/>
      <color theme="1"/>
      <name val="Arial"/>
    </font>
    <font/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shrinkToFit="0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6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wrapText="1"/>
    </xf>
    <xf borderId="0" fillId="0" fontId="6" numFmtId="0" xfId="0" applyAlignment="1" applyFont="1">
      <alignment shrinkToFit="0" wrapText="1"/>
    </xf>
    <xf borderId="8" fillId="3" fontId="7" numFmtId="0" xfId="0" applyAlignment="1" applyBorder="1" applyFill="1" applyFont="1">
      <alignment shrinkToFit="0" wrapText="1"/>
    </xf>
    <xf borderId="8" fillId="4" fontId="8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9" xfId="0" applyAlignment="1" applyFont="1" applyNumberFormat="1">
      <alignment shrinkToFit="0" wrapText="1"/>
    </xf>
    <xf borderId="8" fillId="5" fontId="8" numFmtId="9" xfId="0" applyAlignment="1" applyBorder="1" applyFill="1" applyFont="1" applyNumberFormat="1">
      <alignment shrinkToFit="0" wrapText="1"/>
    </xf>
    <xf borderId="8" fillId="5" fontId="8" numFmtId="0" xfId="0" applyAlignment="1" applyBorder="1" applyFont="1">
      <alignment shrinkToFit="0" wrapText="1"/>
    </xf>
    <xf borderId="8" fillId="6" fontId="8" numFmtId="0" xfId="0" applyAlignment="1" applyBorder="1" applyFill="1" applyFont="1">
      <alignment shrinkToFit="0" wrapText="1"/>
    </xf>
    <xf borderId="8" fillId="6" fontId="8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Pe2RiBhdKef77RD4rm6X0cSGDMVghRDT7LJQsSACmQU/edit?gid=458045165" TargetMode="External"/><Relationship Id="rId3" Type="http://schemas.openxmlformats.org/officeDocument/2006/relationships/hyperlink" Target="https://docs.google.com/spreadsheets/d/1hH8eCmXfAbys438DGy6pAfxBLwHDfV9L/edit?gid=155400860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86"/>
    <col customWidth="1" min="2" max="4" width="12.57"/>
    <col customWidth="1" min="5" max="5" width="40.86"/>
    <col customWidth="1" min="6" max="6" width="16.43"/>
    <col customWidth="1" min="7" max="7" width="39.43"/>
    <col customWidth="1" min="8" max="8" width="30.43"/>
    <col customWidth="1" min="9" max="9" width="13.0"/>
    <col customWidth="1" min="10" max="10" width="31.71"/>
    <col customWidth="1" min="11" max="11" width="15.14"/>
    <col customWidth="1" min="12" max="12" width="38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/>
    </row>
    <row r="2" ht="12.75" customHeight="1">
      <c r="A2" s="5"/>
      <c r="B2" s="6" t="s">
        <v>11</v>
      </c>
      <c r="C2" s="5" t="s">
        <v>12</v>
      </c>
      <c r="D2" s="5" t="s">
        <v>11</v>
      </c>
      <c r="E2" s="7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8" t="s">
        <v>16</v>
      </c>
      <c r="K2" s="10" t="str">
        <f>IF(B2="",K1,B2)</f>
        <v>게임실행</v>
      </c>
      <c r="L2" s="11" t="s">
        <v>18</v>
      </c>
    </row>
    <row r="3" ht="12.75" customHeight="1">
      <c r="A3" s="5"/>
      <c r="B3" s="12"/>
      <c r="C3" s="13" t="s">
        <v>19</v>
      </c>
      <c r="D3" s="9" t="s">
        <v>20</v>
      </c>
      <c r="E3" s="14" t="s">
        <v>21</v>
      </c>
      <c r="F3" s="8" t="s">
        <v>14</v>
      </c>
      <c r="G3" s="8" t="s">
        <v>22</v>
      </c>
      <c r="H3" s="8" t="s">
        <v>23</v>
      </c>
      <c r="I3" s="9" t="s">
        <v>17</v>
      </c>
      <c r="J3" s="8" t="s">
        <v>23</v>
      </c>
      <c r="K3" s="15" t="s">
        <v>11</v>
      </c>
      <c r="L3" s="11" t="s">
        <v>24</v>
      </c>
    </row>
    <row r="4" ht="12.75" customHeight="1">
      <c r="A4" s="5"/>
      <c r="B4" s="16"/>
      <c r="C4" s="16"/>
      <c r="D4" s="5" t="s">
        <v>25</v>
      </c>
      <c r="E4" s="17" t="s">
        <v>26</v>
      </c>
      <c r="F4" s="18" t="s">
        <v>14</v>
      </c>
      <c r="G4" s="18" t="s">
        <v>27</v>
      </c>
      <c r="H4" s="18" t="s">
        <v>28</v>
      </c>
      <c r="I4" s="9" t="s">
        <v>17</v>
      </c>
      <c r="J4" s="18" t="s">
        <v>28</v>
      </c>
      <c r="K4" s="15" t="s">
        <v>11</v>
      </c>
    </row>
    <row r="5" ht="24.0" customHeight="1">
      <c r="A5" s="5"/>
      <c r="B5" s="6" t="s">
        <v>29</v>
      </c>
      <c r="C5" s="6" t="s">
        <v>30</v>
      </c>
      <c r="D5" s="9" t="s">
        <v>31</v>
      </c>
      <c r="E5" s="19" t="s">
        <v>32</v>
      </c>
      <c r="F5" s="18" t="s">
        <v>33</v>
      </c>
      <c r="G5" s="18" t="s">
        <v>34</v>
      </c>
      <c r="H5" s="18" t="s">
        <v>35</v>
      </c>
      <c r="I5" s="9" t="s">
        <v>17</v>
      </c>
      <c r="J5" s="18" t="s">
        <v>35</v>
      </c>
      <c r="K5" s="10" t="str">
        <f>IF(B5="",K4,B5)</f>
        <v>메뉴기능</v>
      </c>
    </row>
    <row r="6" ht="24.0" customHeight="1">
      <c r="A6" s="5"/>
      <c r="B6" s="12"/>
      <c r="C6" s="12"/>
      <c r="D6" s="9" t="s">
        <v>36</v>
      </c>
      <c r="E6" s="19" t="s">
        <v>37</v>
      </c>
      <c r="F6" s="18" t="s">
        <v>33</v>
      </c>
      <c r="G6" s="18" t="s">
        <v>38</v>
      </c>
      <c r="H6" s="18" t="s">
        <v>39</v>
      </c>
      <c r="I6" s="9" t="s">
        <v>17</v>
      </c>
      <c r="J6" s="18" t="s">
        <v>39</v>
      </c>
      <c r="K6" s="15" t="s">
        <v>29</v>
      </c>
    </row>
    <row r="7" ht="32.25" customHeight="1">
      <c r="A7" s="5"/>
      <c r="B7" s="12"/>
      <c r="C7" s="12"/>
      <c r="D7" s="13" t="s">
        <v>40</v>
      </c>
      <c r="E7" s="19" t="s">
        <v>41</v>
      </c>
      <c r="F7" s="18" t="s">
        <v>33</v>
      </c>
      <c r="G7" s="18" t="s">
        <v>42</v>
      </c>
      <c r="H7" s="18" t="s">
        <v>43</v>
      </c>
      <c r="I7" s="9" t="s">
        <v>17</v>
      </c>
      <c r="J7" s="18" t="s">
        <v>43</v>
      </c>
      <c r="K7" s="10" t="str">
        <f>IF(B7="",K5,B7)</f>
        <v>메뉴기능</v>
      </c>
    </row>
    <row r="8" ht="31.5" customHeight="1">
      <c r="A8" s="5"/>
      <c r="B8" s="12"/>
      <c r="C8" s="12"/>
      <c r="D8" s="12"/>
      <c r="E8" s="19" t="s">
        <v>44</v>
      </c>
      <c r="F8" s="18" t="s">
        <v>33</v>
      </c>
      <c r="G8" s="18" t="s">
        <v>45</v>
      </c>
      <c r="H8" s="18" t="s">
        <v>46</v>
      </c>
      <c r="I8" s="9" t="s">
        <v>17</v>
      </c>
      <c r="J8" s="18" t="s">
        <v>46</v>
      </c>
      <c r="K8" s="10" t="str">
        <f>IF(B7="",K5,B7)</f>
        <v>메뉴기능</v>
      </c>
    </row>
    <row r="9" ht="36.0" customHeight="1">
      <c r="A9" s="5"/>
      <c r="B9" s="12"/>
      <c r="C9" s="12"/>
      <c r="D9" s="12"/>
      <c r="E9" s="19" t="s">
        <v>47</v>
      </c>
      <c r="F9" s="18" t="s">
        <v>33</v>
      </c>
      <c r="G9" s="18" t="s">
        <v>48</v>
      </c>
      <c r="H9" s="18" t="s">
        <v>49</v>
      </c>
      <c r="I9" s="9" t="s">
        <v>17</v>
      </c>
      <c r="J9" s="18" t="s">
        <v>49</v>
      </c>
      <c r="K9" s="10" t="str">
        <f>IF(B7="",K5,B7)</f>
        <v>메뉴기능</v>
      </c>
    </row>
    <row r="10" ht="33.0" customHeight="1">
      <c r="A10" s="5"/>
      <c r="B10" s="12"/>
      <c r="C10" s="12"/>
      <c r="D10" s="12"/>
      <c r="E10" s="19" t="s">
        <v>50</v>
      </c>
      <c r="F10" s="18" t="s">
        <v>33</v>
      </c>
      <c r="G10" s="18" t="s">
        <v>51</v>
      </c>
      <c r="H10" s="18" t="s">
        <v>52</v>
      </c>
      <c r="I10" s="9" t="s">
        <v>17</v>
      </c>
      <c r="J10" s="18" t="s">
        <v>52</v>
      </c>
      <c r="K10" s="10" t="str">
        <f>IF(B7="",K5,B7)</f>
        <v>메뉴기능</v>
      </c>
    </row>
    <row r="11" ht="35.25" customHeight="1">
      <c r="A11" s="5"/>
      <c r="B11" s="12"/>
      <c r="C11" s="12"/>
      <c r="D11" s="12"/>
      <c r="E11" s="19" t="s">
        <v>53</v>
      </c>
      <c r="F11" s="18" t="s">
        <v>33</v>
      </c>
      <c r="G11" s="18" t="s">
        <v>54</v>
      </c>
      <c r="H11" s="18" t="s">
        <v>55</v>
      </c>
      <c r="I11" s="9" t="s">
        <v>17</v>
      </c>
      <c r="J11" s="18" t="s">
        <v>55</v>
      </c>
      <c r="K11" s="10" t="str">
        <f>IF(B7="",K5,B7)</f>
        <v>메뉴기능</v>
      </c>
    </row>
    <row r="12" ht="36.75" customHeight="1">
      <c r="A12" s="5"/>
      <c r="B12" s="12"/>
      <c r="C12" s="12"/>
      <c r="D12" s="16"/>
      <c r="E12" s="19" t="s">
        <v>56</v>
      </c>
      <c r="F12" s="18" t="s">
        <v>33</v>
      </c>
      <c r="G12" s="18" t="s">
        <v>57</v>
      </c>
      <c r="H12" s="18" t="s">
        <v>58</v>
      </c>
      <c r="I12" s="9" t="s">
        <v>17</v>
      </c>
      <c r="J12" s="18" t="s">
        <v>58</v>
      </c>
      <c r="K12" s="10" t="str">
        <f>IF(B7="",K5,B7)</f>
        <v>메뉴기능</v>
      </c>
    </row>
    <row r="13" ht="27.0" customHeight="1">
      <c r="A13" s="5"/>
      <c r="B13" s="12"/>
      <c r="C13" s="12"/>
      <c r="D13" s="13" t="s">
        <v>59</v>
      </c>
      <c r="E13" s="19" t="s">
        <v>60</v>
      </c>
      <c r="F13" s="18" t="s">
        <v>61</v>
      </c>
      <c r="G13" s="18" t="s">
        <v>62</v>
      </c>
      <c r="H13" s="18" t="s">
        <v>63</v>
      </c>
      <c r="I13" s="9" t="s">
        <v>17</v>
      </c>
      <c r="J13" s="18" t="s">
        <v>63</v>
      </c>
      <c r="K13" s="10" t="str">
        <f>IF(B7="",K5,B7)</f>
        <v>메뉴기능</v>
      </c>
    </row>
    <row r="14" ht="23.25" customHeight="1">
      <c r="A14" s="5"/>
      <c r="B14" s="12"/>
      <c r="C14" s="12"/>
      <c r="D14" s="12"/>
      <c r="E14" s="19" t="s">
        <v>64</v>
      </c>
      <c r="F14" s="18" t="s">
        <v>65</v>
      </c>
      <c r="G14" s="18" t="s">
        <v>66</v>
      </c>
      <c r="H14" s="18" t="s">
        <v>67</v>
      </c>
      <c r="I14" s="9" t="s">
        <v>17</v>
      </c>
      <c r="J14" s="18" t="s">
        <v>67</v>
      </c>
      <c r="K14" s="10" t="str">
        <f>IF(B7="",K5,B7)</f>
        <v>메뉴기능</v>
      </c>
    </row>
    <row r="15" ht="22.5" customHeight="1">
      <c r="A15" s="5"/>
      <c r="B15" s="12"/>
      <c r="C15" s="12"/>
      <c r="D15" s="12"/>
      <c r="E15" s="19" t="s">
        <v>68</v>
      </c>
      <c r="F15" s="18" t="s">
        <v>69</v>
      </c>
      <c r="G15" s="18" t="s">
        <v>70</v>
      </c>
      <c r="H15" s="18" t="s">
        <v>71</v>
      </c>
      <c r="I15" s="9" t="s">
        <v>17</v>
      </c>
      <c r="J15" s="18" t="s">
        <v>71</v>
      </c>
      <c r="K15" s="10" t="str">
        <f>IF(B7="",K5,B7)</f>
        <v>메뉴기능</v>
      </c>
    </row>
    <row r="16" ht="24.0" customHeight="1">
      <c r="A16" s="5"/>
      <c r="B16" s="12"/>
      <c r="C16" s="12"/>
      <c r="D16" s="12"/>
      <c r="E16" s="19" t="s">
        <v>72</v>
      </c>
      <c r="F16" s="18" t="s">
        <v>73</v>
      </c>
      <c r="G16" s="18" t="s">
        <v>74</v>
      </c>
      <c r="H16" s="18" t="s">
        <v>75</v>
      </c>
      <c r="I16" s="9" t="s">
        <v>17</v>
      </c>
      <c r="J16" s="18" t="s">
        <v>75</v>
      </c>
      <c r="K16" s="10" t="str">
        <f>IF(B7="",K5,B7)</f>
        <v>메뉴기능</v>
      </c>
    </row>
    <row r="17" ht="44.25" customHeight="1">
      <c r="A17" s="5"/>
      <c r="B17" s="12"/>
      <c r="C17" s="12"/>
      <c r="D17" s="16"/>
      <c r="E17" s="19" t="s">
        <v>76</v>
      </c>
      <c r="F17" s="18" t="s">
        <v>77</v>
      </c>
      <c r="G17" s="18" t="s">
        <v>78</v>
      </c>
      <c r="H17" s="18" t="s">
        <v>79</v>
      </c>
      <c r="I17" s="9" t="s">
        <v>17</v>
      </c>
      <c r="J17" s="18" t="s">
        <v>79</v>
      </c>
      <c r="K17" s="15" t="s">
        <v>29</v>
      </c>
    </row>
    <row r="18" ht="12.75" customHeight="1">
      <c r="A18" s="5"/>
      <c r="B18" s="12"/>
      <c r="C18" s="12"/>
      <c r="D18" s="13" t="s">
        <v>80</v>
      </c>
      <c r="E18" s="19" t="s">
        <v>81</v>
      </c>
      <c r="F18" s="18" t="s">
        <v>82</v>
      </c>
      <c r="G18" s="18" t="s">
        <v>83</v>
      </c>
      <c r="H18" s="18" t="s">
        <v>84</v>
      </c>
      <c r="I18" s="9" t="s">
        <v>17</v>
      </c>
      <c r="J18" s="18" t="s">
        <v>84</v>
      </c>
      <c r="K18" s="10" t="str">
        <f>IF(B18="",K7,B18)</f>
        <v>메뉴기능</v>
      </c>
    </row>
    <row r="19" ht="12.75" customHeight="1">
      <c r="A19" s="5"/>
      <c r="B19" s="12"/>
      <c r="C19" s="12"/>
      <c r="D19" s="12"/>
      <c r="E19" s="19" t="s">
        <v>85</v>
      </c>
      <c r="F19" s="18" t="s">
        <v>82</v>
      </c>
      <c r="G19" s="20"/>
      <c r="H19" s="18" t="s">
        <v>86</v>
      </c>
      <c r="I19" s="5"/>
      <c r="J19" s="20"/>
      <c r="K19" s="10" t="str">
        <f t="shared" ref="K19:K23" si="1">IF(B19="",K18,B19)</f>
        <v>메뉴기능</v>
      </c>
    </row>
    <row r="20" ht="12.75" customHeight="1">
      <c r="A20" s="5"/>
      <c r="B20" s="12"/>
      <c r="C20" s="12"/>
      <c r="D20" s="12"/>
      <c r="E20" s="19" t="s">
        <v>85</v>
      </c>
      <c r="F20" s="18" t="s">
        <v>82</v>
      </c>
      <c r="G20" s="20"/>
      <c r="H20" s="18" t="s">
        <v>86</v>
      </c>
      <c r="I20" s="5"/>
      <c r="J20" s="20"/>
      <c r="K20" s="10" t="str">
        <f t="shared" si="1"/>
        <v>메뉴기능</v>
      </c>
    </row>
    <row r="21" ht="12.75" customHeight="1">
      <c r="A21" s="5"/>
      <c r="B21" s="12"/>
      <c r="C21" s="12"/>
      <c r="D21" s="12"/>
      <c r="E21" s="19" t="s">
        <v>87</v>
      </c>
      <c r="F21" s="18" t="s">
        <v>82</v>
      </c>
      <c r="G21" s="20"/>
      <c r="H21" s="18" t="s">
        <v>88</v>
      </c>
      <c r="I21" s="9" t="s">
        <v>89</v>
      </c>
      <c r="J21" s="18" t="s">
        <v>88</v>
      </c>
      <c r="K21" s="10" t="str">
        <f t="shared" si="1"/>
        <v>메뉴기능</v>
      </c>
    </row>
    <row r="22" ht="12.75" customHeight="1">
      <c r="A22" s="5"/>
      <c r="B22" s="12"/>
      <c r="C22" s="12"/>
      <c r="D22" s="12"/>
      <c r="E22" s="19" t="s">
        <v>85</v>
      </c>
      <c r="F22" s="18" t="s">
        <v>82</v>
      </c>
      <c r="G22" s="20"/>
      <c r="H22" s="18" t="s">
        <v>86</v>
      </c>
      <c r="I22" s="5"/>
      <c r="J22" s="20"/>
      <c r="K22" s="10" t="str">
        <f t="shared" si="1"/>
        <v>메뉴기능</v>
      </c>
    </row>
    <row r="23" ht="12.75" customHeight="1">
      <c r="A23" s="5"/>
      <c r="B23" s="16"/>
      <c r="C23" s="16"/>
      <c r="D23" s="16"/>
      <c r="E23" s="19" t="s">
        <v>85</v>
      </c>
      <c r="F23" s="18" t="s">
        <v>82</v>
      </c>
      <c r="G23" s="20"/>
      <c r="H23" s="18" t="s">
        <v>86</v>
      </c>
      <c r="I23" s="5"/>
      <c r="J23" s="20"/>
      <c r="K23" s="10" t="str">
        <f t="shared" si="1"/>
        <v>메뉴기능</v>
      </c>
    </row>
    <row r="24" ht="49.5" customHeight="1">
      <c r="A24" s="5"/>
      <c r="B24" s="13" t="s">
        <v>90</v>
      </c>
      <c r="C24" s="13" t="s">
        <v>91</v>
      </c>
      <c r="D24" s="9" t="s">
        <v>92</v>
      </c>
      <c r="E24" s="19" t="s">
        <v>93</v>
      </c>
      <c r="F24" s="20"/>
      <c r="G24" s="18" t="s">
        <v>94</v>
      </c>
      <c r="H24" s="18" t="s">
        <v>95</v>
      </c>
      <c r="I24" s="9" t="s">
        <v>17</v>
      </c>
      <c r="J24" s="18" t="s">
        <v>95</v>
      </c>
      <c r="K24" s="15" t="s">
        <v>96</v>
      </c>
    </row>
    <row r="25" ht="49.5" customHeight="1">
      <c r="A25" s="5"/>
      <c r="B25" s="12"/>
      <c r="C25" s="12"/>
      <c r="D25" s="9" t="s">
        <v>97</v>
      </c>
      <c r="E25" s="19" t="s">
        <v>98</v>
      </c>
      <c r="F25" s="18" t="s">
        <v>99</v>
      </c>
      <c r="G25" s="18" t="s">
        <v>100</v>
      </c>
      <c r="H25" s="18" t="s">
        <v>101</v>
      </c>
      <c r="I25" s="9" t="s">
        <v>17</v>
      </c>
      <c r="J25" s="18" t="s">
        <v>101</v>
      </c>
      <c r="K25" s="15" t="s">
        <v>96</v>
      </c>
    </row>
    <row r="26" ht="49.5" customHeight="1">
      <c r="A26" s="5"/>
      <c r="B26" s="12"/>
      <c r="C26" s="12"/>
      <c r="D26" s="9" t="s">
        <v>102</v>
      </c>
      <c r="E26" s="19" t="s">
        <v>103</v>
      </c>
      <c r="F26" s="18" t="s">
        <v>104</v>
      </c>
      <c r="G26" s="18" t="s">
        <v>105</v>
      </c>
      <c r="H26" s="18" t="s">
        <v>106</v>
      </c>
      <c r="I26" s="9" t="s">
        <v>17</v>
      </c>
      <c r="J26" s="18" t="s">
        <v>106</v>
      </c>
      <c r="K26" s="15" t="s">
        <v>96</v>
      </c>
    </row>
    <row r="27" ht="49.5" customHeight="1">
      <c r="A27" s="5"/>
      <c r="B27" s="12"/>
      <c r="C27" s="16"/>
      <c r="D27" s="9" t="s">
        <v>107</v>
      </c>
      <c r="E27" s="19" t="s">
        <v>108</v>
      </c>
      <c r="F27" s="18" t="s">
        <v>109</v>
      </c>
      <c r="G27" s="18" t="s">
        <v>110</v>
      </c>
      <c r="H27" s="18" t="s">
        <v>111</v>
      </c>
      <c r="I27" s="9" t="s">
        <v>17</v>
      </c>
      <c r="J27" s="18" t="s">
        <v>111</v>
      </c>
      <c r="K27" s="15" t="s">
        <v>96</v>
      </c>
    </row>
    <row r="28" ht="49.5" customHeight="1">
      <c r="A28" s="5"/>
      <c r="B28" s="12"/>
      <c r="C28" s="13" t="s">
        <v>112</v>
      </c>
      <c r="D28" s="9" t="s">
        <v>92</v>
      </c>
      <c r="E28" s="17"/>
      <c r="F28" s="20"/>
      <c r="G28" s="20"/>
      <c r="H28" s="20"/>
      <c r="I28" s="5"/>
      <c r="J28" s="20"/>
      <c r="K28" s="15" t="s">
        <v>96</v>
      </c>
    </row>
    <row r="29" ht="49.5" customHeight="1">
      <c r="A29" s="5"/>
      <c r="B29" s="12"/>
      <c r="C29" s="12"/>
      <c r="D29" s="9" t="s">
        <v>113</v>
      </c>
      <c r="E29" s="17"/>
      <c r="F29" s="20"/>
      <c r="G29" s="20"/>
      <c r="H29" s="20"/>
      <c r="I29" s="5"/>
      <c r="J29" s="20"/>
      <c r="K29" s="15" t="s">
        <v>96</v>
      </c>
    </row>
    <row r="30" ht="49.5" customHeight="1">
      <c r="A30" s="5"/>
      <c r="B30" s="12"/>
      <c r="C30" s="12"/>
      <c r="D30" s="9" t="s">
        <v>114</v>
      </c>
      <c r="E30" s="17"/>
      <c r="F30" s="20"/>
      <c r="G30" s="20"/>
      <c r="H30" s="20"/>
      <c r="I30" s="5"/>
      <c r="J30" s="20"/>
      <c r="K30" s="15" t="s">
        <v>96</v>
      </c>
    </row>
    <row r="31" ht="49.5" customHeight="1">
      <c r="A31" s="5"/>
      <c r="B31" s="12"/>
      <c r="C31" s="16"/>
      <c r="D31" s="9" t="s">
        <v>107</v>
      </c>
      <c r="E31" s="17"/>
      <c r="F31" s="20"/>
      <c r="G31" s="20"/>
      <c r="H31" s="20"/>
      <c r="I31" s="5"/>
      <c r="J31" s="20"/>
      <c r="K31" s="15" t="s">
        <v>96</v>
      </c>
    </row>
    <row r="32" ht="49.5" customHeight="1">
      <c r="A32" s="5"/>
      <c r="B32" s="12"/>
      <c r="C32" s="13" t="s">
        <v>115</v>
      </c>
      <c r="D32" s="9" t="s">
        <v>92</v>
      </c>
      <c r="E32" s="17"/>
      <c r="F32" s="20"/>
      <c r="G32" s="20"/>
      <c r="H32" s="20"/>
      <c r="I32" s="5"/>
      <c r="J32" s="20"/>
      <c r="K32" s="15" t="s">
        <v>96</v>
      </c>
    </row>
    <row r="33" ht="49.5" customHeight="1">
      <c r="A33" s="5"/>
      <c r="B33" s="12"/>
      <c r="C33" s="12"/>
      <c r="D33" s="9" t="s">
        <v>113</v>
      </c>
      <c r="E33" s="17"/>
      <c r="F33" s="20"/>
      <c r="G33" s="20"/>
      <c r="H33" s="20"/>
      <c r="I33" s="5"/>
      <c r="J33" s="20"/>
      <c r="K33" s="15" t="s">
        <v>96</v>
      </c>
    </row>
    <row r="34" ht="49.5" customHeight="1">
      <c r="A34" s="5"/>
      <c r="B34" s="12"/>
      <c r="C34" s="12"/>
      <c r="D34" s="9" t="s">
        <v>114</v>
      </c>
      <c r="E34" s="17"/>
      <c r="F34" s="20"/>
      <c r="G34" s="20"/>
      <c r="H34" s="20"/>
      <c r="I34" s="5"/>
      <c r="J34" s="20"/>
      <c r="K34" s="15" t="s">
        <v>96</v>
      </c>
    </row>
    <row r="35" ht="49.5" customHeight="1">
      <c r="A35" s="5"/>
      <c r="B35" s="12"/>
      <c r="C35" s="16"/>
      <c r="D35" s="9" t="s">
        <v>107</v>
      </c>
      <c r="E35" s="17"/>
      <c r="F35" s="20"/>
      <c r="G35" s="20"/>
      <c r="H35" s="20"/>
      <c r="I35" s="5"/>
      <c r="J35" s="20"/>
      <c r="K35" s="15" t="s">
        <v>96</v>
      </c>
    </row>
    <row r="36" ht="49.5" customHeight="1">
      <c r="A36" s="5"/>
      <c r="B36" s="12"/>
      <c r="C36" s="13" t="s">
        <v>116</v>
      </c>
      <c r="D36" s="9" t="s">
        <v>92</v>
      </c>
      <c r="E36" s="17"/>
      <c r="F36" s="20"/>
      <c r="G36" s="20"/>
      <c r="H36" s="20"/>
      <c r="I36" s="5"/>
      <c r="J36" s="20"/>
      <c r="K36" s="15" t="s">
        <v>96</v>
      </c>
    </row>
    <row r="37" ht="49.5" customHeight="1">
      <c r="A37" s="5"/>
      <c r="B37" s="12"/>
      <c r="C37" s="12"/>
      <c r="D37" s="9" t="s">
        <v>113</v>
      </c>
      <c r="E37" s="17"/>
      <c r="F37" s="20"/>
      <c r="G37" s="20"/>
      <c r="H37" s="20"/>
      <c r="I37" s="5"/>
      <c r="J37" s="20"/>
      <c r="K37" s="15" t="s">
        <v>96</v>
      </c>
    </row>
    <row r="38" ht="49.5" customHeight="1">
      <c r="A38" s="5"/>
      <c r="B38" s="12"/>
      <c r="C38" s="12"/>
      <c r="D38" s="9" t="s">
        <v>114</v>
      </c>
      <c r="E38" s="17"/>
      <c r="F38" s="20"/>
      <c r="G38" s="20"/>
      <c r="H38" s="20"/>
      <c r="I38" s="5"/>
      <c r="J38" s="20"/>
      <c r="K38" s="15" t="s">
        <v>96</v>
      </c>
    </row>
    <row r="39" ht="49.5" customHeight="1">
      <c r="A39" s="5"/>
      <c r="B39" s="12"/>
      <c r="C39" s="16"/>
      <c r="D39" s="9" t="s">
        <v>107</v>
      </c>
      <c r="E39" s="17"/>
      <c r="F39" s="20"/>
      <c r="G39" s="20"/>
      <c r="H39" s="20"/>
      <c r="I39" s="5"/>
      <c r="J39" s="20"/>
      <c r="K39" s="15" t="s">
        <v>96</v>
      </c>
    </row>
    <row r="40" ht="49.5" customHeight="1">
      <c r="A40" s="5"/>
      <c r="B40" s="12"/>
      <c r="C40" s="13" t="s">
        <v>117</v>
      </c>
      <c r="D40" s="9" t="s">
        <v>92</v>
      </c>
      <c r="E40" s="17"/>
      <c r="F40" s="20"/>
      <c r="G40" s="20"/>
      <c r="H40" s="20"/>
      <c r="I40" s="5"/>
      <c r="J40" s="20"/>
      <c r="K40" s="15" t="s">
        <v>96</v>
      </c>
    </row>
    <row r="41" ht="49.5" customHeight="1">
      <c r="A41" s="5"/>
      <c r="B41" s="12"/>
      <c r="C41" s="12"/>
      <c r="D41" s="9" t="s">
        <v>113</v>
      </c>
      <c r="E41" s="17"/>
      <c r="F41" s="20"/>
      <c r="G41" s="20"/>
      <c r="H41" s="20"/>
      <c r="I41" s="5"/>
      <c r="J41" s="20"/>
      <c r="K41" s="15" t="s">
        <v>96</v>
      </c>
    </row>
    <row r="42" ht="49.5" customHeight="1">
      <c r="A42" s="5"/>
      <c r="B42" s="12"/>
      <c r="C42" s="12"/>
      <c r="D42" s="9" t="s">
        <v>114</v>
      </c>
      <c r="E42" s="17"/>
      <c r="F42" s="20"/>
      <c r="G42" s="20"/>
      <c r="H42" s="20"/>
      <c r="I42" s="5"/>
      <c r="J42" s="20"/>
      <c r="K42" s="15" t="s">
        <v>96</v>
      </c>
    </row>
    <row r="43" ht="49.5" customHeight="1">
      <c r="A43" s="5"/>
      <c r="B43" s="12"/>
      <c r="C43" s="16"/>
      <c r="D43" s="9" t="s">
        <v>107</v>
      </c>
      <c r="E43" s="17"/>
      <c r="F43" s="20"/>
      <c r="G43" s="20"/>
      <c r="H43" s="20"/>
      <c r="I43" s="5"/>
      <c r="J43" s="20"/>
      <c r="K43" s="15" t="s">
        <v>96</v>
      </c>
    </row>
    <row r="44" ht="49.5" customHeight="1">
      <c r="A44" s="5"/>
      <c r="B44" s="12"/>
      <c r="C44" s="13" t="s">
        <v>118</v>
      </c>
      <c r="D44" s="9" t="s">
        <v>92</v>
      </c>
      <c r="E44" s="17"/>
      <c r="F44" s="20"/>
      <c r="G44" s="20"/>
      <c r="H44" s="20"/>
      <c r="I44" s="5"/>
      <c r="J44" s="20"/>
      <c r="K44" s="15" t="s">
        <v>96</v>
      </c>
    </row>
    <row r="45" ht="49.5" customHeight="1">
      <c r="A45" s="5"/>
      <c r="B45" s="12"/>
      <c r="C45" s="12"/>
      <c r="D45" s="9" t="s">
        <v>113</v>
      </c>
      <c r="E45" s="17"/>
      <c r="F45" s="20"/>
      <c r="G45" s="20"/>
      <c r="H45" s="20"/>
      <c r="I45" s="5"/>
      <c r="J45" s="20"/>
      <c r="K45" s="15" t="s">
        <v>96</v>
      </c>
    </row>
    <row r="46" ht="49.5" customHeight="1">
      <c r="A46" s="5"/>
      <c r="B46" s="12"/>
      <c r="C46" s="12"/>
      <c r="D46" s="9" t="s">
        <v>114</v>
      </c>
      <c r="E46" s="17"/>
      <c r="F46" s="20"/>
      <c r="G46" s="20"/>
      <c r="H46" s="20"/>
      <c r="I46" s="5"/>
      <c r="J46" s="20"/>
      <c r="K46" s="15" t="s">
        <v>96</v>
      </c>
    </row>
    <row r="47" ht="49.5" customHeight="1">
      <c r="A47" s="5"/>
      <c r="B47" s="16"/>
      <c r="C47" s="16"/>
      <c r="D47" s="9" t="s">
        <v>107</v>
      </c>
      <c r="E47" s="17"/>
      <c r="F47" s="20"/>
      <c r="G47" s="20"/>
      <c r="H47" s="20"/>
      <c r="I47" s="5"/>
      <c r="J47" s="20"/>
      <c r="K47" s="15" t="s">
        <v>96</v>
      </c>
    </row>
    <row r="48" ht="24.0" customHeight="1">
      <c r="A48" s="5"/>
      <c r="B48" s="6" t="s">
        <v>96</v>
      </c>
      <c r="C48" s="6" t="s">
        <v>119</v>
      </c>
      <c r="D48" s="13" t="s">
        <v>120</v>
      </c>
      <c r="E48" s="19" t="s">
        <v>121</v>
      </c>
      <c r="F48" s="18"/>
      <c r="G48" s="20"/>
      <c r="H48" s="20"/>
      <c r="I48" s="5"/>
      <c r="J48" s="20"/>
      <c r="K48" s="10" t="str">
        <f>IF(B48="",#REF!,B48)</f>
        <v>인게임기능</v>
      </c>
    </row>
    <row r="49" ht="28.5" customHeight="1">
      <c r="A49" s="5"/>
      <c r="B49" s="12"/>
      <c r="C49" s="12"/>
      <c r="D49" s="16"/>
      <c r="E49" s="19" t="s">
        <v>122</v>
      </c>
      <c r="F49" s="18" t="s">
        <v>123</v>
      </c>
      <c r="G49" s="20"/>
      <c r="H49" s="20"/>
      <c r="I49" s="5"/>
      <c r="J49" s="20"/>
      <c r="K49" s="10" t="str">
        <f t="shared" ref="K49:K53" si="2">IF(B49="",K48,B49)</f>
        <v>인게임기능</v>
      </c>
    </row>
    <row r="50" ht="45.75" customHeight="1">
      <c r="A50" s="5"/>
      <c r="B50" s="12"/>
      <c r="C50" s="12"/>
      <c r="D50" s="13" t="s">
        <v>124</v>
      </c>
      <c r="E50" s="19" t="s">
        <v>125</v>
      </c>
      <c r="F50" s="18" t="s">
        <v>126</v>
      </c>
      <c r="G50" s="18" t="s">
        <v>127</v>
      </c>
      <c r="H50" s="18" t="s">
        <v>128</v>
      </c>
      <c r="I50" s="9" t="s">
        <v>17</v>
      </c>
      <c r="J50" s="18" t="s">
        <v>128</v>
      </c>
      <c r="K50" s="10" t="str">
        <f t="shared" si="2"/>
        <v>인게임기능</v>
      </c>
    </row>
    <row r="51" ht="21.0" customHeight="1">
      <c r="A51" s="5"/>
      <c r="B51" s="12"/>
      <c r="C51" s="12"/>
      <c r="D51" s="16"/>
      <c r="E51" s="19" t="s">
        <v>129</v>
      </c>
      <c r="F51" s="18" t="s">
        <v>130</v>
      </c>
      <c r="G51" s="20"/>
      <c r="H51" s="20"/>
      <c r="I51" s="5"/>
      <c r="J51" s="20"/>
      <c r="K51" s="10" t="str">
        <f t="shared" si="2"/>
        <v>인게임기능</v>
      </c>
    </row>
    <row r="52" ht="12.75" customHeight="1">
      <c r="A52" s="5"/>
      <c r="B52" s="12"/>
      <c r="C52" s="12"/>
      <c r="D52" s="13" t="s">
        <v>131</v>
      </c>
      <c r="E52" s="19" t="s">
        <v>132</v>
      </c>
      <c r="F52" s="20"/>
      <c r="G52" s="20"/>
      <c r="H52" s="20"/>
      <c r="I52" s="5"/>
      <c r="J52" s="20"/>
      <c r="K52" s="10" t="str">
        <f t="shared" si="2"/>
        <v>인게임기능</v>
      </c>
    </row>
    <row r="53" ht="12.75" customHeight="1">
      <c r="A53" s="5"/>
      <c r="B53" s="12"/>
      <c r="C53" s="16"/>
      <c r="D53" s="16"/>
      <c r="E53" s="19" t="s">
        <v>133</v>
      </c>
      <c r="F53" s="20"/>
      <c r="G53" s="20"/>
      <c r="H53" s="20"/>
      <c r="I53" s="5"/>
      <c r="J53" s="20"/>
      <c r="K53" s="10" t="str">
        <f t="shared" si="2"/>
        <v>인게임기능</v>
      </c>
    </row>
    <row r="54" ht="57.75" customHeight="1">
      <c r="A54" s="5"/>
      <c r="B54" s="12"/>
      <c r="C54" s="9" t="s">
        <v>134</v>
      </c>
      <c r="D54" s="5"/>
      <c r="E54" s="17"/>
      <c r="F54" s="20"/>
      <c r="G54" s="20"/>
      <c r="H54" s="20"/>
      <c r="I54" s="5"/>
      <c r="J54" s="20"/>
      <c r="K54" s="15" t="s">
        <v>96</v>
      </c>
    </row>
    <row r="55" ht="29.25" customHeight="1">
      <c r="A55" s="5"/>
      <c r="B55" s="12"/>
      <c r="C55" s="13" t="s">
        <v>135</v>
      </c>
      <c r="D55" s="9" t="s">
        <v>136</v>
      </c>
      <c r="E55" s="19" t="s">
        <v>137</v>
      </c>
      <c r="F55" s="20"/>
      <c r="G55" s="18" t="s">
        <v>138</v>
      </c>
      <c r="H55" s="20"/>
      <c r="I55" s="9" t="s">
        <v>17</v>
      </c>
      <c r="J55" s="18" t="s">
        <v>138</v>
      </c>
      <c r="K55" s="10"/>
    </row>
    <row r="56" ht="29.25" customHeight="1">
      <c r="A56" s="5"/>
      <c r="B56" s="12"/>
      <c r="C56" s="12"/>
      <c r="D56" s="9" t="s">
        <v>139</v>
      </c>
      <c r="E56" s="19" t="s">
        <v>140</v>
      </c>
      <c r="F56" s="20"/>
      <c r="G56" s="18" t="s">
        <v>141</v>
      </c>
      <c r="H56" s="20"/>
      <c r="I56" s="9" t="s">
        <v>17</v>
      </c>
      <c r="J56" s="18" t="s">
        <v>141</v>
      </c>
      <c r="K56" s="10" t="str">
        <f>IF(B56="",K53,B56)</f>
        <v>인게임기능</v>
      </c>
    </row>
    <row r="57" ht="27.0" customHeight="1">
      <c r="A57" s="5"/>
      <c r="B57" s="12"/>
      <c r="C57" s="12"/>
      <c r="D57" s="9" t="s">
        <v>142</v>
      </c>
      <c r="E57" s="19" t="s">
        <v>143</v>
      </c>
      <c r="F57" s="20"/>
      <c r="G57" s="18" t="s">
        <v>144</v>
      </c>
      <c r="H57" s="20"/>
      <c r="I57" s="9" t="s">
        <v>17</v>
      </c>
      <c r="J57" s="18" t="s">
        <v>144</v>
      </c>
      <c r="K57" s="15" t="s">
        <v>96</v>
      </c>
    </row>
    <row r="58" ht="26.25" customHeight="1">
      <c r="A58" s="5"/>
      <c r="B58" s="12"/>
      <c r="C58" s="12"/>
      <c r="D58" s="9" t="s">
        <v>145</v>
      </c>
      <c r="E58" s="19" t="s">
        <v>146</v>
      </c>
      <c r="F58" s="20"/>
      <c r="G58" s="18" t="s">
        <v>147</v>
      </c>
      <c r="H58" s="20"/>
      <c r="I58" s="9" t="s">
        <v>17</v>
      </c>
      <c r="J58" s="18" t="s">
        <v>147</v>
      </c>
      <c r="K58" s="10" t="str">
        <f>IF(B58="",K57,B58)</f>
        <v>인게임기능</v>
      </c>
    </row>
    <row r="59" ht="26.25" customHeight="1">
      <c r="A59" s="5"/>
      <c r="B59" s="16"/>
      <c r="C59" s="16"/>
      <c r="D59" s="9" t="s">
        <v>148</v>
      </c>
      <c r="E59" s="19" t="s">
        <v>149</v>
      </c>
      <c r="F59" s="20"/>
      <c r="G59" s="18" t="s">
        <v>150</v>
      </c>
      <c r="H59" s="20"/>
      <c r="I59" s="9" t="s">
        <v>17</v>
      </c>
      <c r="J59" s="18" t="s">
        <v>150</v>
      </c>
      <c r="K59" s="15" t="s">
        <v>96</v>
      </c>
    </row>
  </sheetData>
  <mergeCells count="20">
    <mergeCell ref="C5:C23"/>
    <mergeCell ref="C24:C27"/>
    <mergeCell ref="C28:C31"/>
    <mergeCell ref="C32:C35"/>
    <mergeCell ref="C36:C39"/>
    <mergeCell ref="C40:C43"/>
    <mergeCell ref="C48:C53"/>
    <mergeCell ref="C55:C59"/>
    <mergeCell ref="B24:B47"/>
    <mergeCell ref="B48:B59"/>
    <mergeCell ref="D48:D49"/>
    <mergeCell ref="D50:D51"/>
    <mergeCell ref="D52:D53"/>
    <mergeCell ref="B2:B4"/>
    <mergeCell ref="C3:C4"/>
    <mergeCell ref="B5:B23"/>
    <mergeCell ref="D7:D12"/>
    <mergeCell ref="D13:D17"/>
    <mergeCell ref="D18:D23"/>
    <mergeCell ref="C44:C47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59">
    <cfRule type="containsBlanks" dxfId="0" priority="11">
      <formula>LEN(TRIM(I1))=0</formula>
    </cfRule>
  </conditionalFormatting>
  <conditionalFormatting sqref="I1:I59">
    <cfRule type="containsText" dxfId="5" priority="12" operator="containsText" text="N/T">
      <formula>NOT(ISERROR(SEARCH(("N/T"),(I1))))</formula>
    </cfRule>
  </conditionalFormatting>
  <conditionalFormatting sqref="I2:I59">
    <cfRule type="containsText" dxfId="1" priority="13" operator="containsText" text="Pass">
      <formula>NOT(ISERROR(SEARCH(("Pass"),(I2))))</formula>
    </cfRule>
  </conditionalFormatting>
  <conditionalFormatting sqref="I2:I59">
    <cfRule type="containsText" dxfId="2" priority="14" operator="containsText" text="Fail">
      <formula>NOT(ISERROR(SEARCH(("Fail"),(I2))))</formula>
    </cfRule>
  </conditionalFormatting>
  <conditionalFormatting sqref="I2:I59">
    <cfRule type="containsText" dxfId="3" priority="15" operator="containsText" text="Block">
      <formula>NOT(ISERROR(SEARCH(("Block"),(I2))))</formula>
    </cfRule>
  </conditionalFormatting>
  <conditionalFormatting sqref="I2:I59">
    <cfRule type="containsText" dxfId="4" priority="16" operator="containsText" text="N/A">
      <formula>NOT(ISERROR(SEARCH(("N/A"),(I2))))</formula>
    </cfRule>
  </conditionalFormatting>
  <conditionalFormatting sqref="J1:K1">
    <cfRule type="containsBlanks" dxfId="0" priority="17">
      <formula>LEN(TRIM(J1))=0</formula>
    </cfRule>
  </conditionalFormatting>
  <conditionalFormatting sqref="J1:K1">
    <cfRule type="containsText" dxfId="1" priority="18" operator="containsText" text="Pass">
      <formula>NOT(ISERROR(SEARCH(("Pass"),(J1))))</formula>
    </cfRule>
  </conditionalFormatting>
  <conditionalFormatting sqref="J1:K1">
    <cfRule type="containsText" dxfId="2" priority="19" operator="containsText" text="Fail">
      <formula>NOT(ISERROR(SEARCH(("Fail"),(J1))))</formula>
    </cfRule>
  </conditionalFormatting>
  <conditionalFormatting sqref="J1:K1">
    <cfRule type="containsText" dxfId="3" priority="20" operator="containsText" text="Block">
      <formula>NOT(ISERROR(SEARCH(("Block"),(J1))))</formula>
    </cfRule>
  </conditionalFormatting>
  <conditionalFormatting sqref="J1:K1">
    <cfRule type="containsText" dxfId="4" priority="21" operator="containsText" text="N/A">
      <formula>NOT(ISERROR(SEARCH(("N/A"),(J1))))</formula>
    </cfRule>
  </conditionalFormatting>
  <conditionalFormatting sqref="J1:K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59">
      <formula1>"Pass,Fail,Block,N/A,N/T"</formula1>
    </dataValidation>
  </dataValidations>
  <hyperlinks>
    <hyperlink r:id="rId2" location="gid=458045165" ref="L2"/>
    <hyperlink r:id="rId3" location="gid=1554008604" ref="L3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21" t="s">
        <v>151</v>
      </c>
    </row>
    <row r="2" ht="12.75" customHeight="1">
      <c r="A2" s="22" t="s">
        <v>152</v>
      </c>
      <c r="B2" s="22" t="s">
        <v>153</v>
      </c>
      <c r="C2" s="22" t="s">
        <v>154</v>
      </c>
      <c r="D2" s="22" t="s">
        <v>17</v>
      </c>
      <c r="E2" s="22" t="s">
        <v>155</v>
      </c>
      <c r="F2" s="22" t="s">
        <v>89</v>
      </c>
      <c r="G2" s="22" t="s">
        <v>156</v>
      </c>
      <c r="H2" s="22" t="s">
        <v>157</v>
      </c>
      <c r="I2" s="22" t="s">
        <v>158</v>
      </c>
      <c r="J2" s="22" t="s">
        <v>159</v>
      </c>
    </row>
    <row r="3" ht="12.75" customHeight="1">
      <c r="A3" s="23" t="s">
        <v>11</v>
      </c>
      <c r="B3" s="24">
        <f>COUNTIF(TestCase!K:K,A3)</f>
        <v>3</v>
      </c>
      <c r="C3" s="25">
        <f t="shared" ref="C3:C5" si="1">IFERROR(B3/$B$6,0)</f>
        <v>0.05263157895</v>
      </c>
      <c r="D3" s="24">
        <f>COUNTIFS(TestCase!$I:$I,"*"&amp;D$2&amp;"*",TestCase!$K:$K,$A3)</f>
        <v>3</v>
      </c>
      <c r="E3" s="24">
        <f>COUNTIFS(TestCase!$I:$I,"*"&amp;E$2&amp;"*",TestCase!$K:$K,$A3)</f>
        <v>0</v>
      </c>
      <c r="F3" s="24">
        <f>COUNTIFS(TestCase!$I:$I,"*"&amp;F$2&amp;"*",TestCase!$K:$K,$A3)</f>
        <v>0</v>
      </c>
      <c r="G3" s="24">
        <f>COUNTIFS(TestCase!$I:$I,"*"&amp;G$2&amp;"*",TestCase!$K:$K,$A3)</f>
        <v>0</v>
      </c>
      <c r="H3" s="24">
        <f>COUNTIFS(TestCase!$I:$I,"*"&amp;H$2&amp;"*",TestCase!$K:$K,$A3)</f>
        <v>0</v>
      </c>
      <c r="I3" s="24">
        <f>COUNTIFS(TestCase!$I:$I,"*"&amp;I$2&amp;"*",TestCase!$K:$K,$A3)</f>
        <v>0</v>
      </c>
      <c r="J3" s="26">
        <f t="shared" ref="J3:J5" si="2">I3/B3</f>
        <v>0</v>
      </c>
    </row>
    <row r="4" ht="12.75" customHeight="1">
      <c r="A4" s="23" t="s">
        <v>29</v>
      </c>
      <c r="B4" s="24">
        <f>COUNTIF(TestCase!K:K,A4)</f>
        <v>19</v>
      </c>
      <c r="C4" s="25">
        <f t="shared" si="1"/>
        <v>0.3333333333</v>
      </c>
      <c r="D4" s="24">
        <f>COUNTIFS(TestCase!$I:$I,"*"&amp;D$2&amp;"*",TestCase!$K:$K,$A4)</f>
        <v>14</v>
      </c>
      <c r="E4" s="24">
        <f>COUNTIFS(TestCase!$I:$I,"*"&amp;E$2&amp;"*",TestCase!$K:$K,$A4)</f>
        <v>0</v>
      </c>
      <c r="F4" s="24">
        <f>COUNTIFS(TestCase!$I:$I,"*"&amp;F$2&amp;"*",TestCase!$K:$K,$A4)</f>
        <v>1</v>
      </c>
      <c r="G4" s="24">
        <f>COUNTIFS(TestCase!$I:$I,"*"&amp;G$2&amp;"*",TestCase!$K:$K,$A4)</f>
        <v>0</v>
      </c>
      <c r="H4" s="24">
        <f>COUNTIFS(TestCase!$I:$I,"*"&amp;H$2&amp;"*",TestCase!$K:$K,$A4)</f>
        <v>0</v>
      </c>
      <c r="I4" s="27">
        <f t="shared" ref="I4:I5" si="3">SUM(D4:H4)</f>
        <v>15</v>
      </c>
      <c r="J4" s="26">
        <f t="shared" si="2"/>
        <v>0.7894736842</v>
      </c>
    </row>
    <row r="5" ht="12.75" customHeight="1">
      <c r="A5" s="23" t="s">
        <v>96</v>
      </c>
      <c r="B5" s="24">
        <f>COUNTIF(TestCase!K:K,A5)</f>
        <v>35</v>
      </c>
      <c r="C5" s="25">
        <f t="shared" si="1"/>
        <v>0.6140350877</v>
      </c>
      <c r="D5" s="24">
        <f>COUNTIFS(TestCase!$I:$I,"*"&amp;D$2&amp;"*",TestCase!$K:$K,$A5)</f>
        <v>9</v>
      </c>
      <c r="E5" s="24">
        <f>COUNTIFS(TestCase!$I:$I,"*"&amp;E$2&amp;"*",TestCase!$K:$K,$A5)</f>
        <v>0</v>
      </c>
      <c r="F5" s="24">
        <f>COUNTIFS(TestCase!$I:$I,"*"&amp;F$2&amp;"*",TestCase!$K:$K,$A5)</f>
        <v>0</v>
      </c>
      <c r="G5" s="24">
        <f>COUNTIFS(TestCase!$I:$I,"*"&amp;G$2&amp;"*",TestCase!$K:$K,$A5)</f>
        <v>0</v>
      </c>
      <c r="H5" s="24">
        <f>COUNTIFS(TestCase!$I:$I,"*"&amp;H$2&amp;"*",TestCase!$K:$K,$A5)</f>
        <v>0</v>
      </c>
      <c r="I5" s="27">
        <f t="shared" si="3"/>
        <v>9</v>
      </c>
      <c r="J5" s="26">
        <f t="shared" si="2"/>
        <v>0.2571428571</v>
      </c>
    </row>
    <row r="6" ht="12.75" customHeight="1">
      <c r="A6" s="28" t="s">
        <v>158</v>
      </c>
      <c r="B6" s="28">
        <f t="shared" ref="B6:I6" si="4">SUM(B3:B5)</f>
        <v>57</v>
      </c>
      <c r="C6" s="29">
        <f t="shared" si="4"/>
        <v>1</v>
      </c>
      <c r="D6" s="27">
        <f t="shared" si="4"/>
        <v>26</v>
      </c>
      <c r="E6" s="27">
        <f t="shared" si="4"/>
        <v>0</v>
      </c>
      <c r="F6" s="27">
        <f t="shared" si="4"/>
        <v>1</v>
      </c>
      <c r="G6" s="27">
        <f t="shared" si="4"/>
        <v>0</v>
      </c>
      <c r="H6" s="27">
        <f t="shared" si="4"/>
        <v>0</v>
      </c>
      <c r="I6" s="27">
        <f t="shared" si="4"/>
        <v>24</v>
      </c>
      <c r="J6" s="27"/>
    </row>
    <row r="7" ht="12.75" customHeight="1">
      <c r="A7" s="28" t="s">
        <v>159</v>
      </c>
      <c r="B7" s="28"/>
      <c r="C7" s="28"/>
      <c r="D7" s="26">
        <f t="shared" ref="D7:I7" si="5">D6/$B6</f>
        <v>0.4561403509</v>
      </c>
      <c r="E7" s="26">
        <f t="shared" si="5"/>
        <v>0</v>
      </c>
      <c r="F7" s="26">
        <f t="shared" si="5"/>
        <v>0.01754385965</v>
      </c>
      <c r="G7" s="26">
        <f t="shared" si="5"/>
        <v>0</v>
      </c>
      <c r="H7" s="26">
        <f t="shared" si="5"/>
        <v>0</v>
      </c>
      <c r="I7" s="26">
        <f t="shared" si="5"/>
        <v>0.4210526316</v>
      </c>
      <c r="J7" s="2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